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rikl\OneDrive\Área de Trabalho\GameJam2026\"/>
    </mc:Choice>
  </mc:AlternateContent>
  <xr:revisionPtr revIDLastSave="0" documentId="13_ncr:1_{499ED8D1-E016-4B70-838B-E784F1915F9E}" xr6:coauthVersionLast="47" xr6:coauthVersionMax="47" xr10:uidLastSave="{00000000-0000-0000-0000-000000000000}"/>
  <bookViews>
    <workbookView xWindow="-120" yWindow="-120" windowWidth="29040" windowHeight="15720" activeTab="1" xr2:uid="{00000000-000D-0000-FFFF-FFFF00000000}"/>
  </bookViews>
  <sheets>
    <sheet name="Planilha4" sheetId="5" r:id="rId1"/>
    <sheet name="Planilha5" sheetId="6" r:id="rId2"/>
    <sheet name="Respostas ao formulário 1" sheetId="1" r:id="rId3"/>
    <sheet name="Tabela" sheetId="3" r:id="rId4"/>
    <sheet name="Pontuação" sheetId="2" r:id="rId5"/>
  </sheets>
  <definedNames>
    <definedName name="_xlnm._FilterDatabase" localSheetId="1" hidden="1">Planilha5!$A$1:$C$1</definedName>
  </definedNames>
  <calcPr calcId="191029"/>
  <pivotCaches>
    <pivotCache cacheId="10"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C25" i="2"/>
  <c r="D25" i="2"/>
  <c r="C40" i="2"/>
  <c r="D40" i="2"/>
  <c r="D9" i="2"/>
  <c r="D15" i="2"/>
  <c r="D17" i="2"/>
  <c r="D19" i="2"/>
  <c r="D21" i="2"/>
  <c r="C44" i="2"/>
  <c r="D44" i="2"/>
  <c r="C43" i="2"/>
  <c r="D43" i="2"/>
  <c r="C7" i="2"/>
  <c r="D7" i="2"/>
  <c r="C8" i="2"/>
  <c r="D8" i="2"/>
  <c r="C9" i="2"/>
  <c r="C10" i="2"/>
  <c r="D10" i="2"/>
  <c r="C11" i="2"/>
  <c r="D11" i="2"/>
  <c r="C12" i="2"/>
  <c r="D12" i="2"/>
  <c r="C13" i="2"/>
  <c r="D13" i="2"/>
  <c r="C14" i="2"/>
  <c r="D14" i="2"/>
  <c r="C15" i="2"/>
  <c r="C16" i="2"/>
  <c r="D16" i="2"/>
  <c r="C17" i="2"/>
  <c r="C18" i="2"/>
  <c r="D18" i="2"/>
  <c r="C19" i="2"/>
  <c r="C20" i="2"/>
  <c r="D20" i="2"/>
  <c r="C21" i="2"/>
  <c r="C22" i="2"/>
  <c r="D22" i="2"/>
  <c r="C23" i="2"/>
  <c r="D23" i="2"/>
  <c r="C24" i="2"/>
  <c r="D24" i="2"/>
  <c r="C26" i="2"/>
  <c r="D26" i="2"/>
  <c r="C27" i="2"/>
  <c r="D27" i="2"/>
  <c r="C28" i="2"/>
  <c r="D28" i="2"/>
  <c r="C29" i="2"/>
  <c r="D29" i="2"/>
  <c r="C30" i="2"/>
  <c r="D30" i="2"/>
  <c r="C31" i="2"/>
  <c r="D31" i="2"/>
  <c r="C32" i="2"/>
  <c r="D32" i="2"/>
  <c r="C33" i="2"/>
  <c r="D33" i="2"/>
  <c r="C34" i="2"/>
  <c r="D34" i="2"/>
  <c r="C35" i="2"/>
  <c r="D35" i="2"/>
  <c r="C36" i="2"/>
  <c r="D36" i="2"/>
  <c r="C37" i="2"/>
  <c r="D37" i="2"/>
  <c r="C38" i="2"/>
  <c r="D38" i="2"/>
  <c r="C39" i="2"/>
  <c r="D39" i="2"/>
  <c r="C41" i="2"/>
  <c r="D41" i="2"/>
  <c r="C42" i="2"/>
  <c r="D42" i="2"/>
  <c r="C45" i="2"/>
  <c r="D45" i="2"/>
  <c r="C46" i="2"/>
  <c r="D46" i="2"/>
  <c r="C47" i="2"/>
  <c r="D47" i="2"/>
  <c r="C48" i="2"/>
  <c r="D48" i="2"/>
  <c r="C49" i="2"/>
  <c r="D49" i="2"/>
  <c r="C50" i="2"/>
  <c r="D50" i="2"/>
  <c r="C51" i="2"/>
  <c r="D51" i="2"/>
  <c r="C52" i="2"/>
  <c r="D52" i="2"/>
  <c r="C53" i="2"/>
  <c r="D53" i="2"/>
  <c r="C54" i="2"/>
  <c r="D54" i="2"/>
  <c r="C55" i="2"/>
  <c r="D55" i="2"/>
  <c r="C56" i="2"/>
  <c r="D56" i="2"/>
  <c r="C57" i="2"/>
  <c r="D57" i="2"/>
  <c r="C3" i="2"/>
  <c r="D3" i="2"/>
  <c r="C4" i="2"/>
  <c r="D4" i="2"/>
  <c r="C5" i="2"/>
  <c r="D5" i="2"/>
  <c r="C6" i="2"/>
  <c r="D6" i="2"/>
  <c r="D2" i="2"/>
  <c r="C2" i="2"/>
</calcChain>
</file>

<file path=xl/sharedStrings.xml><?xml version="1.0" encoding="utf-8"?>
<sst xmlns="http://schemas.openxmlformats.org/spreadsheetml/2006/main" count="284" uniqueCount="92">
  <si>
    <t>Carimbo de data/hora</t>
  </si>
  <si>
    <t>Nome do Jogo</t>
  </si>
  <si>
    <t>Adequação ao Tema</t>
  </si>
  <si>
    <t>Originalidade e Criatividade</t>
  </si>
  <si>
    <t>Diversão e Engajamento</t>
  </si>
  <si>
    <t>Mecânicas e Controles</t>
  </si>
  <si>
    <t>Estética e Design Gráfico</t>
  </si>
  <si>
    <t>Áudio (Música e Efeitos)</t>
  </si>
  <si>
    <t>Estabilidade</t>
  </si>
  <si>
    <t>Completude</t>
  </si>
  <si>
    <t>POTENCIAL DE VENCEDOR</t>
  </si>
  <si>
    <t>Comentários sobre sua experiencia testando</t>
  </si>
  <si>
    <t>Arikleyton</t>
  </si>
  <si>
    <t>01. Block Busters</t>
  </si>
  <si>
    <t>Botão de desligar som não funciona, arte bonita, mas não inova.</t>
  </si>
  <si>
    <t>02. Apenas Uma Porta</t>
  </si>
  <si>
    <t>Mecânica simples e repetitiva. As perguntas não variam, apresentando pouca dificuldade.</t>
  </si>
  <si>
    <t>03. Just One More Time</t>
  </si>
  <si>
    <t>Algumas mecânicas não estão bem polidas e o nível de dificuldade muda muito de uma fase para outra. Não sei se tem final pois não passei do mapa de gelo.</t>
  </si>
  <si>
    <t>04. Captus Gator</t>
  </si>
  <si>
    <t>Vida do inimigo muito alta, o que gera uma dificuldade acentuada; Controle do tiro pouco flexivel.</t>
  </si>
  <si>
    <t>05. Apenas Um Passo</t>
  </si>
  <si>
    <t>Tema forte, jogabilidade inteligente dentro da proposta, mas mecanicas pouco atrativas.</t>
  </si>
  <si>
    <t>06. O último clique</t>
  </si>
  <si>
    <t>Controle confuso, mecanica da luz frustrante quando não se sabe o objetivo, dificuldade elevada para iniciantes.</t>
  </si>
  <si>
    <t>07. Apenas uma luz</t>
  </si>
  <si>
    <t>COmeço intrigante, jogabilidade simples, mas pouco objetivos ou desafios. Nivel de dificuldade muito facil.</t>
  </si>
  <si>
    <t>08. BLACK FOREST</t>
  </si>
  <si>
    <t>O jogo fica menos dificil quando guiado pelo minimapa. A coleta das paginas não é muito precisa. O tempo parece pouco para o desafio.</t>
  </si>
  <si>
    <t>09. RESTA UM</t>
  </si>
  <si>
    <t>Escolhas nao mudam o resultado. O troca de controle entre os personagens é interessante mas nao acrescenta na narrativa.</t>
  </si>
  <si>
    <t>10. A ÚLTIMA CHANCE</t>
  </si>
  <si>
    <t>jogo curto, com vitória centrada na aleatoriedade (sorte); arte e história ok, mas jogabilidade rasa.</t>
  </si>
  <si>
    <t>11. The Apotheosis of Ivy</t>
  </si>
  <si>
    <t>Mecanica de recarregar confusa; narrativa pesada; tema forçado.</t>
  </si>
  <si>
    <t>12. Singular</t>
  </si>
  <si>
    <t>Jogo completo, com dificuldade e jogabilidade agradável, mas tema forçado e sem inovação.</t>
  </si>
  <si>
    <t>13. Apenas um Erro Matemático</t>
  </si>
  <si>
    <t>Jogo interessante pra proposta educativa, mas foge da temática de Apenas Um</t>
  </si>
  <si>
    <t>14. INFragmentado</t>
  </si>
  <si>
    <t>O boneco nao renasce quando morre no mapa da tristeza. O que faz voltar tudo. A ideia com o tema é interessante, mas dificil de perceber no jogo.</t>
  </si>
  <si>
    <t>16. One Slay</t>
  </si>
  <si>
    <t>Mecanica engessada e jogo sem profundidade.</t>
  </si>
  <si>
    <t>17. Paragominas: One Mission</t>
  </si>
  <si>
    <t>Tematica limita a jogabilidade rasa, mas a ambientação é muito interessante</t>
  </si>
  <si>
    <t>18. Apenas um quarto</t>
  </si>
  <si>
    <t>Bug no enigma do relogio?</t>
  </si>
  <si>
    <t>19. ORFEU</t>
  </si>
  <si>
    <t>Dificuldade escala devido ao limite de corrida do personagem. Tema fracamente aplicado</t>
  </si>
  <si>
    <t>20. O culpado entre nós</t>
  </si>
  <si>
    <t>Muitos erros de imagens</t>
  </si>
  <si>
    <t>21. Spear rush</t>
  </si>
  <si>
    <t>Dentro da tematica, jogabilidade equilibrada, dificuldade interessante</t>
  </si>
  <si>
    <t>22. Tiny Sword</t>
  </si>
  <si>
    <t>Jogabilidade interessante, mas nao se identifica o tema e os controles nao sao bem explicados</t>
  </si>
  <si>
    <t>Manoel</t>
  </si>
  <si>
    <t>Tema sombrio, controles difíceis, tempo não suficiente pra atingir o objetivo. Falta instrução. Tinha uns gemidos que pareciam filme pornô. Dava bugs pra reiniciar, comia o tempo mais rápido. Não curti jogar. Na chama pra divulgar o jogo, palavras repetidas</t>
  </si>
  <si>
    <t>Erros de português na chamada (encaralas). Meio confusa essa chamada e a ideia, muita informação, fica complexa. No início, na alegria, o personagem caía meio estando na plataforma, os controle não parecem responder bem. Se o jogador parar na plataforma, cai. O áudio demora pra iniciar em relação ao jogo.</t>
  </si>
  <si>
    <t>Demora a carregar, não dá a certeza se está carregando ou se deu bug. Gostei muito, a música muda e é bem adequada aos cenários, que por sinal estão excelentes. O jogo incentiva a querer descobrir mais sobre as fases. A missão está muito bem descrita também.</t>
  </si>
  <si>
    <t>As teclas de uso que constam na instrução do jogo diferem das comumente associadas (wasd), isso meio que bloqueia o automático do cérebro, passei um tempo até identificar essa troca. Tem muitas informações no início do jogo que não se percebe até que ponto são úteis para a interação ou apenas pra promover clima, até permitem pular. Não caiu bem a associação do nome ao jogo. Meio sobrenatural, meio mundo real.</t>
  </si>
  <si>
    <t>Tem muita informação em forma de instruções na apresentação do jogo. Bem legal, cenário adequado, áudio tb, desafio, movimentação, controles. Apenas as instruções estão carregadas de informação e destoam na tela principal. Mas é um jogo bem interessante.</t>
  </si>
  <si>
    <t>Muito legal, estilo árcade, intuitivo, excelente combinação gráfica, divertido, prende o jogador.</t>
  </si>
  <si>
    <t>Lembro o ARCADE também. A interação por frases do jogo tá um pouco agressiva, não é comum esse uso, apesar de ser um diálogo comum entre pessoas, mas em jogos, fica estranho ao ler. Muito legal também, mas deixa uma compreensão de regras e objetivos um pouco vazias no momento em que começa a interação.</t>
  </si>
  <si>
    <t>Nomes divergentes entre o divulgado (apenas um caminho) e o executado (apenas uma porta). Lembrou a dinâmica de uma armadilha de portas de Jogos Mortais. Muito simples, o desafio na verdade permite jogar praticamente uma única vez, o algoritmo de interação e variabilidade está fraco, limitado.</t>
  </si>
  <si>
    <t xml:space="preserve">Comandos não respondem bem quando usados, interface limitada, cenário muito sem luz, regras muito simples. A temática seria interessante, mas o jogo não consegue se engajar nessa perspectiva. </t>
  </si>
  <si>
    <t>Interessante, apesar da interface sombria tem uma dinâmica de atividade bem legal, permite concluir o desafio. Tá bem fechado. O áudio deixou a desejar.</t>
  </si>
  <si>
    <t>Muito enredo, muita história pra um jogo simples. Os comandos deixam um pouco a desejar na precisão. Interface simples, propõe uma interação não visualizada entre os personagens. A dinâmica perde o enredo do jogo. Audio muito limitado.</t>
  </si>
  <si>
    <t>Tem mais apresentação e preparação do que jogo. Os gráficos até ficaram agradáveis, mas tem muito enredo de apresentação, muito mais do que jogo. Existe um espaço estranho de interação entre os personagens. Som interessante, gráficos interessantes, mas perde espaço pela interação limitada.</t>
  </si>
  <si>
    <t>Muito legal, já tinha olhado ao longo do dia, mais caprichado nas regras, gráficos e áudio muito bons. Variedade de recursos, comandos e tarefas.</t>
  </si>
  <si>
    <t>Muito legal, gráficos e desafios interessantes, puxou pra temática de problemas matemáticos, ficou muito bom. Audio combina com o jogo.</t>
  </si>
  <si>
    <t>Equipe Rocket (Esthefanny Moreira dos Santos, Marcos Vinicius Da Conceição Texeira, Luis Guilherme Freitas Gomes, Nicolas Gabriel Felix Rodrigues, Pedro Henrique de Sousa Farias)</t>
  </si>
  <si>
    <t>Infinity Queens (Yngrid Lourdes Cunha Maia, Ana Luisa Maia Barros, Heloisy Victoria Da Silva Soares)</t>
  </si>
  <si>
    <t>Já tinha visto, jogo legal, desafios interessantes gráficos bons, desenrola legal a medida em que joga-se. Cenários bem construído. A ideia das flechas e bombas foi interessante.</t>
  </si>
  <si>
    <t>Lennon</t>
  </si>
  <si>
    <t>Desafio interessante, percorrendo o percurso. Tem um enredo bom, apesar de ter um certo incentivo à violência.</t>
  </si>
  <si>
    <t>15. Apenas um</t>
  </si>
  <si>
    <t xml:space="preserve">Bugs, personagens que não montam, dificuldade em compreender a dinâmica, demora entre execuções. </t>
  </si>
  <si>
    <t>Regras não muito bem especificadas, comandos que não funcionam, um pouco distante da proposta.</t>
  </si>
  <si>
    <t>SOMA</t>
  </si>
  <si>
    <t>APRESENTAÇÃO</t>
  </si>
  <si>
    <t>EQUIPE</t>
  </si>
  <si>
    <t>NIVEL</t>
  </si>
  <si>
    <t>SUPERIOR</t>
  </si>
  <si>
    <t>NOTA</t>
  </si>
  <si>
    <t>GERAL</t>
  </si>
  <si>
    <t>?</t>
  </si>
  <si>
    <t>Rótulos de Linha</t>
  </si>
  <si>
    <t>Total Geral</t>
  </si>
  <si>
    <t>Soma de GERAL</t>
  </si>
  <si>
    <t>(Tudo)</t>
  </si>
  <si>
    <t>MÉDIA</t>
  </si>
  <si>
    <t>Soma de MÉDIA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</si>
</sst>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3" x14ac:knownFonts="1">
    <font>
      <sz val="10"/>
      <color rgb="FF000000"/>
      <name val="Arial"/>
      <scheme val="minor"/>
    </font>
    <font>
      <sz val="10"/>
      <color theme="1"/>
      <name val="Arial"/>
      <scheme val="minor"/>
    </font>
    <font>
      <b/>
      <sz val="10"/>
      <color theme="1"/>
      <name val="Arial"/>
      <scheme val="minor"/>
    </font>
  </fonts>
  <fills count="2">
    <fill>
      <patternFill patternType="none"/>
    </fill>
    <fill>
      <patternFill patternType="gray125"/>
    </fill>
  </fills>
  <borders count="8">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s>
  <cellStyleXfs count="1">
    <xf numFmtId="0" fontId="0" fillId="0" borderId="0"/>
  </cellStyleXfs>
  <cellXfs count="22">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0" fillId="0" borderId="1"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4" xfId="0" applyBorder="1" applyAlignment="1">
      <alignment horizontal="left"/>
    </xf>
    <xf numFmtId="0" fontId="0" fillId="0" borderId="2" xfId="0" applyBorder="1" applyAlignment="1">
      <alignment horizontal="left" indent="1"/>
    </xf>
    <xf numFmtId="0" fontId="0" fillId="0" borderId="3" xfId="0" pivotButton="1" applyBorder="1"/>
    <xf numFmtId="0" fontId="0" fillId="0" borderId="3" xfId="0" applyBorder="1"/>
    <xf numFmtId="2" fontId="1" fillId="0" borderId="0" xfId="0" applyNumberFormat="1" applyFont="1" applyAlignment="1">
      <alignment vertical="center"/>
    </xf>
    <xf numFmtId="0" fontId="0" fillId="0" borderId="5" xfId="0" applyBorder="1"/>
    <xf numFmtId="0" fontId="0" fillId="0" borderId="1" xfId="0" applyNumberFormat="1" applyBorder="1"/>
    <xf numFmtId="2" fontId="0" fillId="0" borderId="5" xfId="0" applyNumberFormat="1" applyBorder="1"/>
    <xf numFmtId="0" fontId="0" fillId="0" borderId="2" xfId="0" applyNumberFormat="1" applyBorder="1"/>
    <xf numFmtId="2" fontId="0" fillId="0" borderId="6" xfId="0" applyNumberFormat="1" applyBorder="1"/>
    <xf numFmtId="0" fontId="0" fillId="0" borderId="4" xfId="0" applyNumberFormat="1" applyBorder="1"/>
    <xf numFmtId="2" fontId="0" fillId="0" borderId="7" xfId="0" applyNumberFormat="1" applyBorder="1"/>
    <xf numFmtId="0" fontId="0" fillId="0" borderId="4" xfId="0" applyBorder="1" applyAlignment="1">
      <alignment horizontal="left" indent="1"/>
    </xf>
  </cellXfs>
  <cellStyles count="1">
    <cellStyle name="Normal" xfId="0" builtinId="0"/>
  </cellStyles>
  <dxfs count="6">
    <dxf>
      <font>
        <b val="0"/>
        <i val="0"/>
        <strike val="0"/>
        <condense val="0"/>
        <extend val="0"/>
        <outline val="0"/>
        <shadow val="0"/>
        <u val="none"/>
        <vertAlign val="baseline"/>
        <sz val="10"/>
        <color theme="1"/>
        <name val="Arial"/>
        <scheme val="minor"/>
      </font>
      <numFmt numFmtId="2" formatCode="0.00"/>
      <alignment horizontal="general"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0" formatCode="General"/>
      <alignment horizontal="general" vertical="center" textRotation="0" wrapText="0" indent="0" justifyLastLine="0" shrinkToFit="0" readingOrder="0"/>
    </dxf>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Respostas ao formulário 1-style" pivot="0" count="4" xr9:uid="{00000000-0011-0000-FFFF-FFFF00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ikleyton de Oliveira" refreshedDate="46291.441990624997" createdVersion="8" refreshedVersion="8" minRefreshableVersion="3" recordCount="56" xr:uid="{32E4A66B-EC99-4101-BA2F-B061865213E1}">
  <cacheSource type="worksheet">
    <worksheetSource name="Form_Responses"/>
  </cacheSource>
  <cacheFields count="15">
    <cacheField name="Carimbo de data/hora" numFmtId="164">
      <sharedItems containsSemiMixedTypes="0" containsNonDate="0" containsDate="1" containsString="0" minDate="2026-09-25T15:08:25" maxDate="2026-09-26T10:00:32"/>
    </cacheField>
    <cacheField name="?" numFmtId="0">
      <sharedItems count="3">
        <s v="Arikleyton"/>
        <s v="Manoel"/>
        <s v="Lennon"/>
      </sharedItems>
    </cacheField>
    <cacheField name="Nome do Jogo" numFmtId="0">
      <sharedItems count="22">
        <s v="01. Block Busters"/>
        <s v="02. Apenas Uma Porta"/>
        <s v="03. Just One More Time"/>
        <s v="04. Captus Gator"/>
        <s v="05. Apenas Um Passo"/>
        <s v="06. O último clique"/>
        <s v="07. Apenas uma luz"/>
        <s v="08. BLACK FOREST"/>
        <s v="09. RESTA UM"/>
        <s v="10. A ÚLTIMA CHANCE"/>
        <s v="11. The Apotheosis of Ivy"/>
        <s v="12. Singular"/>
        <s v="13. Apenas um Erro Matemático"/>
        <s v="14. INFragmentado"/>
        <s v="16. One Slay"/>
        <s v="17. Paragominas: One Mission"/>
        <s v="18. Apenas um quarto"/>
        <s v="19. ORFEU"/>
        <s v="20. O culpado entre nós"/>
        <s v="21. Spear rush"/>
        <s v="22. Tiny Sword"/>
        <s v="15. Apenas um"/>
      </sharedItems>
    </cacheField>
    <cacheField name="Adequação ao Tema" numFmtId="0">
      <sharedItems containsSemiMixedTypes="0" containsString="0" containsNumber="1" containsInteger="1" minValue="0" maxValue="10"/>
    </cacheField>
    <cacheField name="Originalidade e Criatividade" numFmtId="0">
      <sharedItems containsSemiMixedTypes="0" containsString="0" containsNumber="1" containsInteger="1" minValue="0" maxValue="10"/>
    </cacheField>
    <cacheField name="Diversão e Engajamento" numFmtId="0">
      <sharedItems containsSemiMixedTypes="0" containsString="0" containsNumber="1" containsInteger="1" minValue="0" maxValue="10"/>
    </cacheField>
    <cacheField name="Mecânicas e Controles" numFmtId="0">
      <sharedItems containsSemiMixedTypes="0" containsString="0" containsNumber="1" containsInteger="1" minValue="0" maxValue="10"/>
    </cacheField>
    <cacheField name="Estética e Design Gráfico" numFmtId="0">
      <sharedItems containsSemiMixedTypes="0" containsString="0" containsNumber="1" containsInteger="1" minValue="0" maxValue="10"/>
    </cacheField>
    <cacheField name="Áudio (Música e Efeitos)" numFmtId="0">
      <sharedItems containsSemiMixedTypes="0" containsString="0" containsNumber="1" containsInteger="1" minValue="0" maxValue="10"/>
    </cacheField>
    <cacheField name="Estabilidade" numFmtId="0">
      <sharedItems containsSemiMixedTypes="0" containsString="0" containsNumber="1" containsInteger="1" minValue="0" maxValue="10"/>
    </cacheField>
    <cacheField name="Completude" numFmtId="0">
      <sharedItems containsSemiMixedTypes="0" containsString="0" containsNumber="1" containsInteger="1" minValue="0" maxValue="10"/>
    </cacheField>
    <cacheField name="POTENCIAL DE VENCEDOR" numFmtId="0">
      <sharedItems containsSemiMixedTypes="0" containsString="0" containsNumber="1" containsInteger="1" minValue="0" maxValue="10"/>
    </cacheField>
    <cacheField name="MÉDIA" numFmtId="2">
      <sharedItems containsSemiMixedTypes="0" containsString="0" containsNumber="1" minValue="0" maxValue="9.7777777777777786" count="31">
        <n v="8.6666666666666661"/>
        <n v="7.7777777777777777"/>
        <n v="8.2222222222222214"/>
        <n v="8.5555555555555554"/>
        <n v="6.7777777777777777"/>
        <n v="7.5555555555555554"/>
        <n v="7.1111111111111107"/>
        <n v="8.1111111111111107"/>
        <n v="7.666666666666667"/>
        <n v="8.7777777777777786"/>
        <n v="8.3333333333333339"/>
        <n v="6.1111111111111107"/>
        <n v="7.4444444444444446"/>
        <n v="8.8888888888888893"/>
        <n v="9.2222222222222214"/>
        <n v="7.333333333333333"/>
        <n v="9.7777777777777786"/>
        <n v="9"/>
        <n v="4.2222222222222223"/>
        <n v="7.2222222222222223"/>
        <n v="4.5555555555555554"/>
        <n v="6.666666666666667"/>
        <n v="5.666666666666667"/>
        <n v="9.4444444444444446"/>
        <n v="0"/>
        <n v="7.8888888888888893"/>
        <n v="8"/>
        <n v="6.8888888888888893"/>
        <n v="6.333333333333333"/>
        <n v="5"/>
        <n v="4.4444444444444446"/>
      </sharedItems>
    </cacheField>
    <cacheField name="GERAL" numFmtId="0">
      <sharedItems containsSemiMixedTypes="0" containsString="0" containsNumber="1" containsInteger="1" minValue="0" maxValue="88"/>
    </cacheField>
    <cacheField name="Comentários sobre sua experiencia testando"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6">
  <r>
    <d v="2026-09-25T15:08:25"/>
    <x v="0"/>
    <x v="0"/>
    <n v="9"/>
    <n v="7"/>
    <n v="9"/>
    <n v="9"/>
    <n v="8"/>
    <n v="8"/>
    <n v="10"/>
    <n v="10"/>
    <n v="8"/>
    <x v="0"/>
    <n v="78"/>
    <s v="Botão de desligar som não funciona, arte bonita, mas não inova."/>
  </r>
  <r>
    <d v="2026-09-25T15:11:43"/>
    <x v="0"/>
    <x v="1"/>
    <n v="9"/>
    <n v="7"/>
    <n v="6"/>
    <n v="8"/>
    <n v="7"/>
    <n v="8"/>
    <n v="10"/>
    <n v="10"/>
    <n v="5"/>
    <x v="1"/>
    <n v="70"/>
    <s v="Mecânica simples e repetitiva. As perguntas não variam, apresentando pouca dificuldade."/>
  </r>
  <r>
    <d v="2026-09-25T15:20:53"/>
    <x v="0"/>
    <x v="2"/>
    <n v="8"/>
    <n v="7"/>
    <n v="6"/>
    <n v="8"/>
    <n v="9"/>
    <n v="9"/>
    <n v="10"/>
    <n v="9"/>
    <n v="8"/>
    <x v="2"/>
    <n v="74"/>
    <s v="Algumas mecânicas não estão bem polidas e o nível de dificuldade muda muito de uma fase para outra. Não sei se tem final pois não passei do mapa de gelo."/>
  </r>
  <r>
    <d v="2026-09-25T15:28:47"/>
    <x v="0"/>
    <x v="3"/>
    <n v="9"/>
    <n v="9"/>
    <n v="8"/>
    <n v="6"/>
    <n v="9"/>
    <n v="9"/>
    <n v="10"/>
    <n v="9"/>
    <n v="8"/>
    <x v="3"/>
    <n v="77"/>
    <s v="Vida do inimigo muito alta, o que gera uma dificuldade acentuada; Controle do tiro pouco flexivel."/>
  </r>
  <r>
    <d v="2026-09-25T15:45:14"/>
    <x v="0"/>
    <x v="4"/>
    <n v="8"/>
    <n v="9"/>
    <n v="8"/>
    <n v="7"/>
    <n v="8"/>
    <n v="9"/>
    <n v="10"/>
    <n v="10"/>
    <n v="8"/>
    <x v="3"/>
    <n v="77"/>
    <s v="Tema forte, jogabilidade inteligente dentro da proposta, mas mecanicas pouco atrativas."/>
  </r>
  <r>
    <d v="2026-09-25T15:49:45"/>
    <x v="0"/>
    <x v="5"/>
    <n v="7"/>
    <n v="8"/>
    <n v="6"/>
    <n v="7"/>
    <n v="6"/>
    <n v="5"/>
    <n v="9"/>
    <n v="8"/>
    <n v="5"/>
    <x v="4"/>
    <n v="61"/>
    <s v="Controle confuso, mecanica da luz frustrante quando não se sabe o objetivo, dificuldade elevada para iniciantes."/>
  </r>
  <r>
    <d v="2026-09-25T15:53:50"/>
    <x v="0"/>
    <x v="6"/>
    <n v="6"/>
    <n v="6"/>
    <n v="6"/>
    <n v="8"/>
    <n v="7"/>
    <n v="9"/>
    <n v="10"/>
    <n v="10"/>
    <n v="6"/>
    <x v="5"/>
    <n v="68"/>
    <s v="COmeço intrigante, jogabilidade simples, mas pouco objetivos ou desafios. Nivel de dificuldade muito facil."/>
  </r>
  <r>
    <d v="2026-09-25T16:03:06"/>
    <x v="0"/>
    <x v="7"/>
    <n v="6"/>
    <n v="7"/>
    <n v="7"/>
    <n v="8"/>
    <n v="8"/>
    <n v="9"/>
    <n v="10"/>
    <n v="9"/>
    <n v="6"/>
    <x v="1"/>
    <n v="70"/>
    <s v="O jogo fica menos dificil quando guiado pelo minimapa. A coleta das paginas não é muito precisa. O tempo parece pouco para o desafio."/>
  </r>
  <r>
    <d v="2026-09-25T16:15:55"/>
    <x v="0"/>
    <x v="8"/>
    <n v="6"/>
    <n v="7"/>
    <n v="7"/>
    <n v="8"/>
    <n v="6"/>
    <n v="7"/>
    <n v="9"/>
    <n v="8"/>
    <n v="6"/>
    <x v="6"/>
    <n v="64"/>
    <s v="Escolhas nao mudam o resultado. O troca de controle entre os personagens é interessante mas nao acrescenta na narrativa."/>
  </r>
  <r>
    <d v="2026-09-25T16:20:06"/>
    <x v="0"/>
    <x v="9"/>
    <n v="8"/>
    <n v="6"/>
    <n v="7"/>
    <n v="9"/>
    <n v="9"/>
    <n v="9"/>
    <n v="10"/>
    <n v="10"/>
    <n v="5"/>
    <x v="7"/>
    <n v="73"/>
    <s v="jogo curto, com vitória centrada na aleatoriedade (sorte); arte e história ok, mas jogabilidade rasa."/>
  </r>
  <r>
    <d v="2026-09-25T16:25:46"/>
    <x v="0"/>
    <x v="10"/>
    <n v="6"/>
    <n v="7"/>
    <n v="7"/>
    <n v="7"/>
    <n v="7"/>
    <n v="9"/>
    <n v="10"/>
    <n v="9"/>
    <n v="7"/>
    <x v="8"/>
    <n v="69"/>
    <s v="Mecanica de recarregar confusa; narrativa pesada; tema forçado."/>
  </r>
  <r>
    <d v="2026-09-25T16:35:51"/>
    <x v="0"/>
    <x v="11"/>
    <n v="7"/>
    <n v="7"/>
    <n v="9"/>
    <n v="10"/>
    <n v="9"/>
    <n v="9"/>
    <n v="10"/>
    <n v="10"/>
    <n v="8"/>
    <x v="9"/>
    <n v="79"/>
    <s v="Jogo completo, com dificuldade e jogabilidade agradável, mas tema forçado e sem inovação."/>
  </r>
  <r>
    <d v="2026-09-25T16:41:22"/>
    <x v="0"/>
    <x v="12"/>
    <n v="6"/>
    <n v="7"/>
    <n v="7"/>
    <n v="8"/>
    <n v="8"/>
    <n v="8"/>
    <n v="10"/>
    <n v="9"/>
    <n v="7"/>
    <x v="1"/>
    <n v="70"/>
    <s v="Jogo interessante pra proposta educativa, mas foge da temática de Apenas Um"/>
  </r>
  <r>
    <d v="2026-09-25T16:52:52"/>
    <x v="0"/>
    <x v="13"/>
    <n v="7"/>
    <n v="9"/>
    <n v="9"/>
    <n v="8"/>
    <n v="8"/>
    <n v="9"/>
    <n v="9"/>
    <n v="9"/>
    <n v="7"/>
    <x v="10"/>
    <n v="75"/>
    <s v="O boneco nao renasce quando morre no mapa da tristeza. O que faz voltar tudo. A ideia com o tema é interessante, mas dificil de perceber no jogo."/>
  </r>
  <r>
    <d v="2026-09-25T17:08:07"/>
    <x v="0"/>
    <x v="14"/>
    <n v="6"/>
    <n v="6"/>
    <n v="6"/>
    <n v="6"/>
    <n v="8"/>
    <n v="5"/>
    <n v="8"/>
    <n v="5"/>
    <n v="5"/>
    <x v="11"/>
    <n v="55"/>
    <s v="Mecanica engessada e jogo sem profundidade."/>
  </r>
  <r>
    <d v="2026-09-25T17:17:43"/>
    <x v="0"/>
    <x v="15"/>
    <n v="7"/>
    <n v="9"/>
    <n v="9"/>
    <n v="8"/>
    <n v="9"/>
    <n v="9"/>
    <n v="8"/>
    <n v="10"/>
    <n v="8"/>
    <x v="3"/>
    <n v="77"/>
    <s v="Tematica limita a jogabilidade rasa, mas a ambientação é muito interessante"/>
  </r>
  <r>
    <d v="2026-09-25T17:24:01"/>
    <x v="0"/>
    <x v="16"/>
    <n v="8"/>
    <n v="8"/>
    <n v="8"/>
    <n v="8"/>
    <n v="8"/>
    <n v="5"/>
    <n v="7"/>
    <n v="8"/>
    <n v="7"/>
    <x v="12"/>
    <n v="67"/>
    <s v="Bug no enigma do relogio?"/>
  </r>
  <r>
    <d v="2026-09-25T17:36:57"/>
    <x v="0"/>
    <x v="17"/>
    <n v="8"/>
    <n v="8"/>
    <n v="8"/>
    <n v="8"/>
    <n v="9"/>
    <n v="9"/>
    <n v="10"/>
    <n v="10"/>
    <n v="9"/>
    <x v="9"/>
    <n v="79"/>
    <s v="Dificuldade escala devido ao limite de corrida do personagem. Tema fracamente aplicado"/>
  </r>
  <r>
    <d v="2026-09-25T17:44:49"/>
    <x v="0"/>
    <x v="18"/>
    <n v="9"/>
    <n v="9"/>
    <n v="8"/>
    <n v="9"/>
    <n v="10"/>
    <n v="9"/>
    <n v="8"/>
    <n v="10"/>
    <n v="8"/>
    <x v="13"/>
    <n v="80"/>
    <s v="Muitos erros de imagens"/>
  </r>
  <r>
    <d v="2026-09-25T17:51:32"/>
    <x v="0"/>
    <x v="19"/>
    <n v="9"/>
    <n v="9"/>
    <n v="9"/>
    <n v="9"/>
    <n v="9"/>
    <n v="9"/>
    <n v="10"/>
    <n v="10"/>
    <n v="9"/>
    <x v="14"/>
    <n v="83"/>
    <s v="Dentro da tematica, jogabilidade equilibrada, dificuldade interessante"/>
  </r>
  <r>
    <d v="2026-09-25T17:55:51"/>
    <x v="0"/>
    <x v="20"/>
    <n v="6"/>
    <n v="7"/>
    <n v="8"/>
    <n v="7"/>
    <n v="8"/>
    <n v="8"/>
    <n v="8"/>
    <n v="9"/>
    <n v="7"/>
    <x v="5"/>
    <n v="68"/>
    <s v="Jogabilidade interessante, mas nao se identifica o tema e os controles nao sao bem explicados"/>
  </r>
  <r>
    <d v="2026-09-25T18:13:47"/>
    <x v="1"/>
    <x v="7"/>
    <n v="9"/>
    <n v="9"/>
    <n v="7"/>
    <n v="4"/>
    <n v="9"/>
    <n v="8"/>
    <n v="3"/>
    <n v="9"/>
    <n v="8"/>
    <x v="15"/>
    <n v="66"/>
    <s v="Tema sombrio, controles difíceis, tempo não suficiente pra atingir o objetivo. Falta instrução. Tinha uns gemidos que pareciam filme pornô. Dava bugs pra reiniciar, comia o tempo mais rápido. Não curti jogar. Na chama pra divulgar o jogo, palavras repetidas"/>
  </r>
  <r>
    <d v="2026-09-25T18:18:11"/>
    <x v="1"/>
    <x v="13"/>
    <n v="9"/>
    <n v="9"/>
    <n v="6"/>
    <n v="6"/>
    <n v="6"/>
    <n v="9"/>
    <n v="6"/>
    <n v="7"/>
    <n v="3"/>
    <x v="4"/>
    <n v="61"/>
    <s v="Erros de português na chamada (encaralas). Meio confusa essa chamada e a ideia, muita informação, fica complexa. No início, na alegria, o personagem caía meio estando na plataforma, os controle não parecem responder bem. Se o jogador parar na plataforma, cai. O áudio demora pra iniciar em relação ao jogo."/>
  </r>
  <r>
    <d v="2026-09-25T18:30:49"/>
    <x v="1"/>
    <x v="15"/>
    <n v="10"/>
    <n v="10"/>
    <n v="10"/>
    <n v="10"/>
    <n v="10"/>
    <n v="10"/>
    <n v="9"/>
    <n v="9"/>
    <n v="10"/>
    <x v="16"/>
    <n v="88"/>
    <s v="Demora a carregar, não dá a certeza se está carregando ou se deu bug. Gostei muito, a música muda e é bem adequada aos cenários, que por sinal estão excelentes. O jogo incentiva a querer descobrir mais sobre as fases. A missão está muito bem descrita também."/>
  </r>
  <r>
    <d v="2026-09-25T18:48:37"/>
    <x v="1"/>
    <x v="17"/>
    <n v="8"/>
    <n v="9"/>
    <n v="7"/>
    <n v="5"/>
    <n v="6"/>
    <n v="9"/>
    <n v="9"/>
    <n v="7"/>
    <n v="6"/>
    <x v="15"/>
    <n v="66"/>
    <s v="As teclas de uso que constam na instrução do jogo diferem das comumente associadas (wasd), isso meio que bloqueia o automático do cérebro, passei um tempo até identificar essa troca. Tem muitas informações no início do jogo que não se percebe até que ponto são úteis para a interação ou apenas pra promover clima, até permitem pular. Não caiu bem a associação do nome ao jogo. Meio sobrenatural, meio mundo real."/>
  </r>
  <r>
    <d v="2026-09-25T19:01:48"/>
    <x v="1"/>
    <x v="19"/>
    <n v="9"/>
    <n v="9"/>
    <n v="9"/>
    <n v="6"/>
    <n v="10"/>
    <n v="10"/>
    <n v="9"/>
    <n v="9"/>
    <n v="10"/>
    <x v="17"/>
    <n v="81"/>
    <s v="Tem muita informação em forma de instruções na apresentação do jogo. Bem legal, cenário adequado, áudio tb, desafio, movimentação, controles. Apenas as instruções estão carregadas de informação e destoam na tela principal. Mas é um jogo bem interessante."/>
  </r>
  <r>
    <d v="2026-09-25T19:07:25"/>
    <x v="1"/>
    <x v="0"/>
    <n v="9"/>
    <n v="8"/>
    <n v="9"/>
    <n v="9"/>
    <n v="9"/>
    <n v="9"/>
    <n v="9"/>
    <n v="9"/>
    <n v="10"/>
    <x v="17"/>
    <n v="81"/>
    <s v="Muito legal, estilo árcade, intuitivo, excelente combinação gráfica, divertido, prende o jogador."/>
  </r>
  <r>
    <d v="2026-09-25T19:15:42"/>
    <x v="1"/>
    <x v="3"/>
    <n v="9"/>
    <n v="7"/>
    <n v="6"/>
    <n v="9"/>
    <n v="9"/>
    <n v="9"/>
    <n v="9"/>
    <n v="9"/>
    <n v="8"/>
    <x v="10"/>
    <n v="75"/>
    <s v="Lembro o ARCADE também. A interação por frases do jogo tá um pouco agressiva, não é comum esse uso, apesar de ser um diálogo comum entre pessoas, mas em jogos, fica estranho ao ler. Muito legal também, mas deixa uma compreensão de regras e objetivos um pouco vazias no momento em que começa a interação."/>
  </r>
  <r>
    <d v="2026-09-25T22:54:16"/>
    <x v="1"/>
    <x v="1"/>
    <n v="8"/>
    <n v="6"/>
    <n v="6"/>
    <n v="10"/>
    <n v="9"/>
    <n v="9"/>
    <n v="8"/>
    <n v="8"/>
    <n v="6"/>
    <x v="1"/>
    <n v="70"/>
    <s v="Nomes divergentes entre o divulgado (apenas um caminho) e o executado (apenas uma porta). Lembrou a dinâmica de uma armadilha de portas de Jogos Mortais. Muito simples, o desafio na verdade permite jogar praticamente uma única vez, o algoritmo de interação e variabilidade está fraco, limitado."/>
  </r>
  <r>
    <d v="2026-09-25T23:09:19"/>
    <x v="1"/>
    <x v="4"/>
    <n v="6"/>
    <n v="8"/>
    <n v="2"/>
    <n v="2"/>
    <n v="5"/>
    <n v="5"/>
    <n v="4"/>
    <n v="5"/>
    <n v="1"/>
    <x v="18"/>
    <n v="38"/>
    <s v="Comandos não respondem bem quando usados, interface limitada, cenário muito sem luz, regras muito simples. A temática seria interessante, mas o jogo não consegue se engajar nessa perspectiva. "/>
  </r>
  <r>
    <d v="2026-09-25T23:24:47"/>
    <x v="1"/>
    <x v="6"/>
    <n v="8"/>
    <n v="8"/>
    <n v="9"/>
    <n v="9"/>
    <n v="8"/>
    <n v="3"/>
    <n v="8"/>
    <n v="8"/>
    <n v="4"/>
    <x v="19"/>
    <n v="65"/>
    <s v="Interessante, apesar da interface sombria tem uma dinâmica de atividade bem legal, permite concluir o desafio. Tá bem fechado. O áudio deixou a desejar."/>
  </r>
  <r>
    <d v="2026-09-25T23:30:47"/>
    <x v="1"/>
    <x v="8"/>
    <n v="8"/>
    <n v="6"/>
    <n v="4"/>
    <n v="5"/>
    <n v="4"/>
    <n v="1"/>
    <n v="5"/>
    <n v="7"/>
    <n v="1"/>
    <x v="20"/>
    <n v="41"/>
    <s v="Muito enredo, muita história pra um jogo simples. Os comandos deixam um pouco a desejar na precisão. Interface simples, propõe uma interação não visualizada entre os personagens. A dinâmica perde o enredo do jogo. Audio muito limitado."/>
  </r>
  <r>
    <d v="2026-09-25T23:35:29"/>
    <x v="1"/>
    <x v="9"/>
    <n v="8"/>
    <n v="7"/>
    <n v="5"/>
    <n v="7"/>
    <n v="8"/>
    <n v="9"/>
    <n v="7"/>
    <n v="7"/>
    <n v="2"/>
    <x v="21"/>
    <n v="60"/>
    <s v="Tem mais apresentação e preparação do que jogo. Os gráficos até ficaram agradáveis, mas tem muito enredo de apresentação, muito mais do que jogo. Existe um espaço estranho de interação entre os personagens. Som interessante, gráficos interessantes, mas perde espaço pela interação limitada."/>
  </r>
  <r>
    <d v="2026-09-25T23:41:35"/>
    <x v="1"/>
    <x v="11"/>
    <n v="9"/>
    <n v="8"/>
    <n v="9"/>
    <n v="9"/>
    <n v="10"/>
    <n v="10"/>
    <n v="9"/>
    <n v="8"/>
    <n v="9"/>
    <x v="17"/>
    <n v="81"/>
    <s v="Muito legal, já tinha olhado ao longo do dia, mais caprichado nas regras, gráficos e áudio muito bons. Variedade de recursos, comandos e tarefas."/>
  </r>
  <r>
    <d v="2026-09-25T23:56:23"/>
    <x v="1"/>
    <x v="12"/>
    <n v="9"/>
    <n v="9"/>
    <n v="9"/>
    <n v="9"/>
    <n v="9"/>
    <n v="8"/>
    <n v="8"/>
    <n v="8"/>
    <n v="9"/>
    <x v="0"/>
    <n v="78"/>
    <s v="Muito legal, gráficos e desafios interessantes, puxou pra temática de problemas matemáticos, ficou muito bom. Audio combina com o jogo."/>
  </r>
  <r>
    <d v="2026-09-26T00:05:52"/>
    <x v="1"/>
    <x v="16"/>
    <n v="8"/>
    <n v="7"/>
    <n v="5"/>
    <n v="5"/>
    <n v="9"/>
    <n v="2"/>
    <n v="7"/>
    <n v="6"/>
    <n v="2"/>
    <x v="22"/>
    <n v="51"/>
    <s v="Equipe Rocket (Esthefanny Moreira dos Santos, Marcos Vinicius Da Conceição Texeira, Luis Guilherme Freitas Gomes, Nicolas Gabriel Felix Rodrigues, Pedro Henrique de Sousa Farias)"/>
  </r>
  <r>
    <d v="2026-09-26T00:11:08"/>
    <x v="1"/>
    <x v="18"/>
    <n v="9"/>
    <n v="9"/>
    <n v="9"/>
    <n v="10"/>
    <n v="10"/>
    <n v="10"/>
    <n v="9"/>
    <n v="9"/>
    <n v="10"/>
    <x v="23"/>
    <n v="85"/>
    <s v="Infinity Queens (Yngrid Lourdes Cunha Maia, Ana Luisa Maia Barros, Heloisy Victoria Da Silva Soares)"/>
  </r>
  <r>
    <d v="2026-09-26T00:14:21"/>
    <x v="1"/>
    <x v="20"/>
    <n v="9"/>
    <n v="9"/>
    <n v="9"/>
    <n v="8"/>
    <n v="9"/>
    <n v="9"/>
    <n v="8"/>
    <n v="8"/>
    <n v="8"/>
    <x v="3"/>
    <n v="77"/>
    <s v="Já tinha visto, jogo legal, desafios interessantes gráficos bons, desenrola legal a medida em que joga-se. Cenários bem construído. A ideia das flechas e bombas foi interessante."/>
  </r>
  <r>
    <d v="2026-09-26T08:06:49"/>
    <x v="2"/>
    <x v="7"/>
    <n v="8"/>
    <n v="8"/>
    <n v="8"/>
    <n v="10"/>
    <n v="10"/>
    <n v="8"/>
    <n v="10"/>
    <n v="10"/>
    <n v="7"/>
    <x v="9"/>
    <n v="79"/>
    <m/>
  </r>
  <r>
    <d v="2026-09-26T08:11:52"/>
    <x v="2"/>
    <x v="13"/>
    <n v="7"/>
    <n v="10"/>
    <n v="8"/>
    <n v="7"/>
    <n v="10"/>
    <n v="10"/>
    <n v="10"/>
    <n v="10"/>
    <n v="7"/>
    <x v="9"/>
    <n v="79"/>
    <m/>
  </r>
  <r>
    <d v="2026-09-26T08:13:43"/>
    <x v="2"/>
    <x v="15"/>
    <n v="0"/>
    <n v="0"/>
    <n v="0"/>
    <n v="0"/>
    <n v="0"/>
    <n v="0"/>
    <n v="0"/>
    <n v="0"/>
    <n v="0"/>
    <x v="24"/>
    <n v="0"/>
    <s v="Não pude avaliar. Apresentou o seguinte error: Failed to load audio/se/Cursor2.ogg"/>
  </r>
  <r>
    <d v="2026-09-26T08:20:43"/>
    <x v="2"/>
    <x v="17"/>
    <n v="1"/>
    <n v="7"/>
    <n v="8"/>
    <n v="10"/>
    <n v="8"/>
    <n v="10"/>
    <n v="10"/>
    <n v="10"/>
    <n v="7"/>
    <x v="25"/>
    <n v="71"/>
    <m/>
  </r>
  <r>
    <d v="2026-09-26T08:24:46"/>
    <x v="2"/>
    <x v="19"/>
    <n v="10"/>
    <n v="10"/>
    <n v="8"/>
    <n v="9"/>
    <n v="8"/>
    <n v="8"/>
    <n v="10"/>
    <n v="10"/>
    <n v="8"/>
    <x v="17"/>
    <n v="81"/>
    <m/>
  </r>
  <r>
    <d v="2026-09-26T08:27:45"/>
    <x v="2"/>
    <x v="0"/>
    <n v="8"/>
    <n v="10"/>
    <n v="3"/>
    <n v="10"/>
    <n v="7"/>
    <n v="5"/>
    <n v="10"/>
    <n v="8"/>
    <n v="4"/>
    <x v="19"/>
    <n v="65"/>
    <m/>
  </r>
  <r>
    <d v="2026-09-26T08:34:03"/>
    <x v="2"/>
    <x v="3"/>
    <n v="5"/>
    <n v="7"/>
    <n v="7"/>
    <n v="10"/>
    <n v="8"/>
    <n v="8"/>
    <n v="10"/>
    <n v="10"/>
    <n v="7"/>
    <x v="26"/>
    <n v="72"/>
    <m/>
  </r>
  <r>
    <d v="2026-09-26T08:35:16"/>
    <x v="2"/>
    <x v="4"/>
    <n v="8"/>
    <n v="10"/>
    <n v="5"/>
    <n v="8"/>
    <n v="8"/>
    <n v="8"/>
    <n v="10"/>
    <n v="10"/>
    <n v="7"/>
    <x v="2"/>
    <n v="74"/>
    <m/>
  </r>
  <r>
    <d v="2026-09-26T08:37:59"/>
    <x v="2"/>
    <x v="11"/>
    <n v="10"/>
    <n v="10"/>
    <n v="7"/>
    <n v="8"/>
    <n v="8"/>
    <n v="8"/>
    <n v="10"/>
    <n v="10"/>
    <n v="8"/>
    <x v="9"/>
    <n v="79"/>
    <m/>
  </r>
  <r>
    <d v="2026-09-26T08:40:20"/>
    <x v="2"/>
    <x v="16"/>
    <n v="7"/>
    <n v="7"/>
    <n v="6"/>
    <n v="10"/>
    <n v="8"/>
    <n v="7"/>
    <n v="10"/>
    <n v="10"/>
    <n v="5"/>
    <x v="1"/>
    <n v="70"/>
    <m/>
  </r>
  <r>
    <d v="2026-09-26T08:42:56"/>
    <x v="2"/>
    <x v="18"/>
    <n v="5"/>
    <n v="5"/>
    <n v="5"/>
    <n v="10"/>
    <n v="10"/>
    <n v="7"/>
    <n v="5"/>
    <n v="10"/>
    <n v="5"/>
    <x v="27"/>
    <n v="62"/>
    <m/>
  </r>
  <r>
    <d v="2026-09-26T08:45:13"/>
    <x v="2"/>
    <x v="20"/>
    <n v="5"/>
    <n v="6"/>
    <n v="7"/>
    <n v="7"/>
    <n v="8"/>
    <n v="5"/>
    <n v="6"/>
    <n v="8"/>
    <n v="5"/>
    <x v="28"/>
    <n v="57"/>
    <m/>
  </r>
  <r>
    <d v="2026-09-26T09:21:13"/>
    <x v="2"/>
    <x v="15"/>
    <n v="9"/>
    <n v="8"/>
    <n v="7"/>
    <n v="9"/>
    <n v="10"/>
    <n v="7"/>
    <n v="10"/>
    <n v="10"/>
    <n v="8"/>
    <x v="0"/>
    <n v="78"/>
    <m/>
  </r>
  <r>
    <d v="2026-09-26T09:30:15"/>
    <x v="2"/>
    <x v="10"/>
    <n v="8"/>
    <n v="8"/>
    <n v="7"/>
    <n v="10"/>
    <n v="8"/>
    <n v="7"/>
    <n v="10"/>
    <n v="10"/>
    <n v="7"/>
    <x v="10"/>
    <n v="75"/>
    <m/>
  </r>
  <r>
    <d v="2026-09-26T09:44:26"/>
    <x v="2"/>
    <x v="2"/>
    <n v="5"/>
    <n v="7"/>
    <n v="7"/>
    <n v="8"/>
    <n v="8"/>
    <n v="7"/>
    <n v="10"/>
    <n v="10"/>
    <n v="5"/>
    <x v="12"/>
    <n v="67"/>
    <m/>
  </r>
  <r>
    <d v="2026-09-26T09:55:33"/>
    <x v="1"/>
    <x v="10"/>
    <n v="9"/>
    <n v="8"/>
    <n v="6"/>
    <n v="7"/>
    <n v="9"/>
    <n v="9"/>
    <n v="8"/>
    <n v="9"/>
    <n v="7"/>
    <x v="26"/>
    <n v="72"/>
    <s v="Desafio interessante, percorrendo o percurso. Tem um enredo bom, apesar de ter um certo incentivo à violência."/>
  </r>
  <r>
    <d v="2026-09-26T09:58:12"/>
    <x v="1"/>
    <x v="21"/>
    <n v="3"/>
    <n v="8"/>
    <n v="4"/>
    <n v="7"/>
    <n v="5"/>
    <n v="8"/>
    <n v="3"/>
    <n v="5"/>
    <n v="2"/>
    <x v="29"/>
    <n v="45"/>
    <s v="Bugs, personagens que não montam, dificuldade em compreender a dinâmica, demora entre execuções. "/>
  </r>
  <r>
    <d v="2026-09-26T10:00:32"/>
    <x v="1"/>
    <x v="14"/>
    <n v="6"/>
    <n v="6"/>
    <n v="3"/>
    <n v="6"/>
    <n v="5"/>
    <n v="6"/>
    <n v="4"/>
    <n v="3"/>
    <n v="1"/>
    <x v="30"/>
    <n v="40"/>
    <s v="Regras não muito bem especificadas, comandos que não funcionam, um pouco distante da propos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66C202-74B9-4979-8FF3-6672DBC00264}" name="Tabela dinâmica2" cacheId="1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81" firstHeaderRow="0" firstDataRow="1" firstDataCol="1" rowPageCount="1" colPageCount="1"/>
  <pivotFields count="15">
    <pivotField numFmtId="164" showAll="0"/>
    <pivotField axis="axisRow" showAll="0">
      <items count="4">
        <item x="0"/>
        <item x="2"/>
        <item x="1"/>
        <item t="default"/>
      </items>
    </pivotField>
    <pivotField axis="axisRow" showAll="0">
      <items count="23">
        <item x="0"/>
        <item x="1"/>
        <item x="2"/>
        <item x="3"/>
        <item x="4"/>
        <item x="5"/>
        <item x="6"/>
        <item x="7"/>
        <item x="8"/>
        <item x="9"/>
        <item x="10"/>
        <item x="11"/>
        <item x="12"/>
        <item x="13"/>
        <item x="21"/>
        <item x="14"/>
        <item x="15"/>
        <item x="16"/>
        <item x="17"/>
        <item x="18"/>
        <item x="19"/>
        <item x="20"/>
        <item t="default"/>
      </items>
    </pivotField>
    <pivotField showAll="0"/>
    <pivotField showAll="0"/>
    <pivotField showAll="0"/>
    <pivotField showAll="0"/>
    <pivotField showAll="0"/>
    <pivotField showAll="0"/>
    <pivotField showAll="0"/>
    <pivotField showAll="0"/>
    <pivotField showAll="0"/>
    <pivotField axis="axisPage" dataField="1" numFmtId="2" showAll="0">
      <items count="32">
        <item x="24"/>
        <item x="18"/>
        <item x="30"/>
        <item x="20"/>
        <item x="29"/>
        <item x="22"/>
        <item x="11"/>
        <item x="28"/>
        <item x="21"/>
        <item x="4"/>
        <item x="27"/>
        <item x="6"/>
        <item x="19"/>
        <item x="15"/>
        <item x="12"/>
        <item x="5"/>
        <item x="8"/>
        <item x="1"/>
        <item x="25"/>
        <item x="26"/>
        <item x="7"/>
        <item x="2"/>
        <item x="10"/>
        <item x="3"/>
        <item x="0"/>
        <item x="9"/>
        <item x="13"/>
        <item x="17"/>
        <item x="14"/>
        <item x="23"/>
        <item x="16"/>
        <item t="default"/>
      </items>
    </pivotField>
    <pivotField dataField="1" showAll="0"/>
    <pivotField showAll="0"/>
  </pivotFields>
  <rowFields count="2">
    <field x="2"/>
    <field x="1"/>
  </rowFields>
  <rowItems count="78">
    <i>
      <x/>
    </i>
    <i r="1">
      <x/>
    </i>
    <i r="1">
      <x v="1"/>
    </i>
    <i r="1">
      <x v="2"/>
    </i>
    <i>
      <x v="1"/>
    </i>
    <i r="1">
      <x/>
    </i>
    <i r="1">
      <x v="2"/>
    </i>
    <i>
      <x v="2"/>
    </i>
    <i r="1">
      <x/>
    </i>
    <i r="1">
      <x v="1"/>
    </i>
    <i>
      <x v="3"/>
    </i>
    <i r="1">
      <x/>
    </i>
    <i r="1">
      <x v="1"/>
    </i>
    <i r="1">
      <x v="2"/>
    </i>
    <i>
      <x v="4"/>
    </i>
    <i r="1">
      <x/>
    </i>
    <i r="1">
      <x v="1"/>
    </i>
    <i r="1">
      <x v="2"/>
    </i>
    <i>
      <x v="5"/>
    </i>
    <i r="1">
      <x/>
    </i>
    <i>
      <x v="6"/>
    </i>
    <i r="1">
      <x/>
    </i>
    <i r="1">
      <x v="2"/>
    </i>
    <i>
      <x v="7"/>
    </i>
    <i r="1">
      <x/>
    </i>
    <i r="1">
      <x v="1"/>
    </i>
    <i r="1">
      <x v="2"/>
    </i>
    <i>
      <x v="8"/>
    </i>
    <i r="1">
      <x/>
    </i>
    <i r="1">
      <x v="2"/>
    </i>
    <i>
      <x v="9"/>
    </i>
    <i r="1">
      <x/>
    </i>
    <i r="1">
      <x v="2"/>
    </i>
    <i>
      <x v="10"/>
    </i>
    <i r="1">
      <x/>
    </i>
    <i r="1">
      <x v="1"/>
    </i>
    <i r="1">
      <x v="2"/>
    </i>
    <i>
      <x v="11"/>
    </i>
    <i r="1">
      <x/>
    </i>
    <i r="1">
      <x v="1"/>
    </i>
    <i r="1">
      <x v="2"/>
    </i>
    <i>
      <x v="12"/>
    </i>
    <i r="1">
      <x/>
    </i>
    <i r="1">
      <x v="2"/>
    </i>
    <i>
      <x v="13"/>
    </i>
    <i r="1">
      <x/>
    </i>
    <i r="1">
      <x v="1"/>
    </i>
    <i r="1">
      <x v="2"/>
    </i>
    <i>
      <x v="14"/>
    </i>
    <i r="1">
      <x v="2"/>
    </i>
    <i>
      <x v="15"/>
    </i>
    <i r="1">
      <x/>
    </i>
    <i r="1">
      <x v="2"/>
    </i>
    <i>
      <x v="16"/>
    </i>
    <i r="1">
      <x/>
    </i>
    <i r="1">
      <x v="1"/>
    </i>
    <i r="1">
      <x v="2"/>
    </i>
    <i>
      <x v="17"/>
    </i>
    <i r="1">
      <x/>
    </i>
    <i r="1">
      <x v="1"/>
    </i>
    <i r="1">
      <x v="2"/>
    </i>
    <i>
      <x v="18"/>
    </i>
    <i r="1">
      <x/>
    </i>
    <i r="1">
      <x v="1"/>
    </i>
    <i r="1">
      <x v="2"/>
    </i>
    <i>
      <x v="19"/>
    </i>
    <i r="1">
      <x/>
    </i>
    <i r="1">
      <x v="1"/>
    </i>
    <i r="1">
      <x v="2"/>
    </i>
    <i>
      <x v="20"/>
    </i>
    <i r="1">
      <x/>
    </i>
    <i r="1">
      <x v="1"/>
    </i>
    <i r="1">
      <x v="2"/>
    </i>
    <i>
      <x v="21"/>
    </i>
    <i r="1">
      <x/>
    </i>
    <i r="1">
      <x v="1"/>
    </i>
    <i r="1">
      <x v="2"/>
    </i>
    <i t="grand">
      <x/>
    </i>
  </rowItems>
  <colFields count="1">
    <field x="-2"/>
  </colFields>
  <colItems count="2">
    <i>
      <x/>
    </i>
    <i i="1">
      <x v="1"/>
    </i>
  </colItems>
  <pageFields count="1">
    <pageField fld="12" hier="-1"/>
  </pageFields>
  <dataFields count="2">
    <dataField name="Soma de GERAL" fld="13" baseField="0" baseItem="0"/>
    <dataField name="Soma de MÉDIA" fld="12" baseField="0" baseItem="0" numFmtId="2"/>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O56">
  <autoFilter ref="A1:O56" xr:uid="{00000000-000C-0000-FFFF-FFFF00000000}"/>
  <tableColumns count="15">
    <tableColumn id="1" xr3:uid="{00000000-0010-0000-0000-000001000000}" name="Carimbo de data/hora"/>
    <tableColumn id="2" xr3:uid="{00000000-0010-0000-0000-000002000000}" name="?"/>
    <tableColumn id="3" xr3:uid="{00000000-0010-0000-0000-000003000000}" name="Nome do Jogo"/>
    <tableColumn id="4" xr3:uid="{00000000-0010-0000-0000-000004000000}" name="Adequação ao Tema"/>
    <tableColumn id="5" xr3:uid="{00000000-0010-0000-0000-000005000000}" name="Originalidade e Criatividade"/>
    <tableColumn id="6" xr3:uid="{00000000-0010-0000-0000-000006000000}" name="Diversão e Engajamento"/>
    <tableColumn id="7" xr3:uid="{00000000-0010-0000-0000-000007000000}" name="Mecânicas e Controles"/>
    <tableColumn id="8" xr3:uid="{00000000-0010-0000-0000-000008000000}" name="Estética e Design Gráfico"/>
    <tableColumn id="9" xr3:uid="{00000000-0010-0000-0000-000009000000}" name="Áudio (Música e Efeitos)"/>
    <tableColumn id="10" xr3:uid="{00000000-0010-0000-0000-00000A000000}" name="Estabilidade"/>
    <tableColumn id="11" xr3:uid="{00000000-0010-0000-0000-00000B000000}" name="Completude"/>
    <tableColumn id="12" xr3:uid="{00000000-0010-0000-0000-00000C000000}" name="POTENCIAL DE VENCEDOR"/>
    <tableColumn id="15" xr3:uid="{599F5DED-FE0D-4A00-BB27-8E6227F84527}" name="MÉDIA" dataDxfId="0">
      <calculatedColumnFormula>AVERAGE(Form_Responses[[#This Row],[Adequação ao Tema]:[POTENCIAL DE VENCEDOR]])</calculatedColumnFormula>
    </tableColumn>
    <tableColumn id="14" xr3:uid="{8C9B6D57-EBDE-43C7-841A-70297357545F}" name="GERAL" dataDxfId="1">
      <calculatedColumnFormula>SUM(Form_Responses[[#This Row],[Adequação ao Tema]:[POTENCIAL DE VENCEDOR]])</calculatedColumnFormula>
    </tableColumn>
    <tableColumn id="13" xr3:uid="{00000000-0010-0000-0000-00000D000000}" name="Comentários sobre sua experiencia testando"/>
  </tableColumns>
  <tableStyleInfo name="Respostas ao formulá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7F713-6F27-46AA-812C-BF2D55809F36}">
  <dimension ref="A1:C81"/>
  <sheetViews>
    <sheetView workbookViewId="0">
      <selection activeCell="A3" sqref="A3:C81"/>
    </sheetView>
  </sheetViews>
  <sheetFormatPr defaultRowHeight="12.75" x14ac:dyDescent="0.2"/>
  <cols>
    <col min="1" max="1" width="30.42578125" bestFit="1" customWidth="1"/>
    <col min="2" max="2" width="15.42578125" bestFit="1" customWidth="1"/>
    <col min="3" max="3" width="15" bestFit="1" customWidth="1"/>
  </cols>
  <sheetData>
    <row r="1" spans="1:3" x14ac:dyDescent="0.2">
      <c r="A1" s="11" t="s">
        <v>90</v>
      </c>
      <c r="B1" s="12" t="s">
        <v>89</v>
      </c>
    </row>
    <row r="3" spans="1:3" x14ac:dyDescent="0.2">
      <c r="A3" s="6" t="s">
        <v>86</v>
      </c>
      <c r="B3" s="5" t="s">
        <v>88</v>
      </c>
      <c r="C3" s="14" t="s">
        <v>91</v>
      </c>
    </row>
    <row r="4" spans="1:3" x14ac:dyDescent="0.2">
      <c r="A4" s="7" t="s">
        <v>13</v>
      </c>
      <c r="B4" s="15">
        <v>224</v>
      </c>
      <c r="C4" s="16">
        <v>24.888888888888889</v>
      </c>
    </row>
    <row r="5" spans="1:3" x14ac:dyDescent="0.2">
      <c r="A5" s="10" t="s">
        <v>12</v>
      </c>
      <c r="B5" s="17">
        <v>78</v>
      </c>
      <c r="C5" s="18">
        <v>8.6666666666666661</v>
      </c>
    </row>
    <row r="6" spans="1:3" x14ac:dyDescent="0.2">
      <c r="A6" s="10" t="s">
        <v>73</v>
      </c>
      <c r="B6" s="17">
        <v>65</v>
      </c>
      <c r="C6" s="18">
        <v>7.2222222222222223</v>
      </c>
    </row>
    <row r="7" spans="1:3" x14ac:dyDescent="0.2">
      <c r="A7" s="10" t="s">
        <v>55</v>
      </c>
      <c r="B7" s="17">
        <v>81</v>
      </c>
      <c r="C7" s="18">
        <v>9</v>
      </c>
    </row>
    <row r="8" spans="1:3" x14ac:dyDescent="0.2">
      <c r="A8" s="8" t="s">
        <v>15</v>
      </c>
      <c r="B8" s="17">
        <v>140</v>
      </c>
      <c r="C8" s="18">
        <v>15.555555555555555</v>
      </c>
    </row>
    <row r="9" spans="1:3" x14ac:dyDescent="0.2">
      <c r="A9" s="10" t="s">
        <v>12</v>
      </c>
      <c r="B9" s="17">
        <v>70</v>
      </c>
      <c r="C9" s="18">
        <v>7.7777777777777777</v>
      </c>
    </row>
    <row r="10" spans="1:3" x14ac:dyDescent="0.2">
      <c r="A10" s="10" t="s">
        <v>55</v>
      </c>
      <c r="B10" s="17">
        <v>70</v>
      </c>
      <c r="C10" s="18">
        <v>7.7777777777777777</v>
      </c>
    </row>
    <row r="11" spans="1:3" x14ac:dyDescent="0.2">
      <c r="A11" s="8" t="s">
        <v>17</v>
      </c>
      <c r="B11" s="17">
        <v>141</v>
      </c>
      <c r="C11" s="18">
        <v>15.666666666666666</v>
      </c>
    </row>
    <row r="12" spans="1:3" x14ac:dyDescent="0.2">
      <c r="A12" s="10" t="s">
        <v>12</v>
      </c>
      <c r="B12" s="17">
        <v>74</v>
      </c>
      <c r="C12" s="18">
        <v>8.2222222222222214</v>
      </c>
    </row>
    <row r="13" spans="1:3" x14ac:dyDescent="0.2">
      <c r="A13" s="10" t="s">
        <v>73</v>
      </c>
      <c r="B13" s="17">
        <v>67</v>
      </c>
      <c r="C13" s="18">
        <v>7.4444444444444446</v>
      </c>
    </row>
    <row r="14" spans="1:3" x14ac:dyDescent="0.2">
      <c r="A14" s="8" t="s">
        <v>19</v>
      </c>
      <c r="B14" s="17">
        <v>224</v>
      </c>
      <c r="C14" s="18">
        <v>24.888888888888893</v>
      </c>
    </row>
    <row r="15" spans="1:3" x14ac:dyDescent="0.2">
      <c r="A15" s="10" t="s">
        <v>12</v>
      </c>
      <c r="B15" s="17">
        <v>77</v>
      </c>
      <c r="C15" s="18">
        <v>8.5555555555555554</v>
      </c>
    </row>
    <row r="16" spans="1:3" x14ac:dyDescent="0.2">
      <c r="A16" s="10" t="s">
        <v>73</v>
      </c>
      <c r="B16" s="17">
        <v>72</v>
      </c>
      <c r="C16" s="18">
        <v>8</v>
      </c>
    </row>
    <row r="17" spans="1:3" x14ac:dyDescent="0.2">
      <c r="A17" s="10" t="s">
        <v>55</v>
      </c>
      <c r="B17" s="17">
        <v>75</v>
      </c>
      <c r="C17" s="18">
        <v>8.3333333333333339</v>
      </c>
    </row>
    <row r="18" spans="1:3" x14ac:dyDescent="0.2">
      <c r="A18" s="8" t="s">
        <v>21</v>
      </c>
      <c r="B18" s="17">
        <v>189</v>
      </c>
      <c r="C18" s="18">
        <v>21</v>
      </c>
    </row>
    <row r="19" spans="1:3" x14ac:dyDescent="0.2">
      <c r="A19" s="10" t="s">
        <v>12</v>
      </c>
      <c r="B19" s="17">
        <v>77</v>
      </c>
      <c r="C19" s="18">
        <v>8.5555555555555554</v>
      </c>
    </row>
    <row r="20" spans="1:3" x14ac:dyDescent="0.2">
      <c r="A20" s="10" t="s">
        <v>73</v>
      </c>
      <c r="B20" s="17">
        <v>74</v>
      </c>
      <c r="C20" s="18">
        <v>8.2222222222222214</v>
      </c>
    </row>
    <row r="21" spans="1:3" x14ac:dyDescent="0.2">
      <c r="A21" s="10" t="s">
        <v>55</v>
      </c>
      <c r="B21" s="17">
        <v>38</v>
      </c>
      <c r="C21" s="18">
        <v>4.2222222222222223</v>
      </c>
    </row>
    <row r="22" spans="1:3" x14ac:dyDescent="0.2">
      <c r="A22" s="8" t="s">
        <v>23</v>
      </c>
      <c r="B22" s="17">
        <v>61</v>
      </c>
      <c r="C22" s="18">
        <v>6.7777777777777777</v>
      </c>
    </row>
    <row r="23" spans="1:3" x14ac:dyDescent="0.2">
      <c r="A23" s="10" t="s">
        <v>12</v>
      </c>
      <c r="B23" s="17">
        <v>61</v>
      </c>
      <c r="C23" s="18">
        <v>6.7777777777777777</v>
      </c>
    </row>
    <row r="24" spans="1:3" x14ac:dyDescent="0.2">
      <c r="A24" s="8" t="s">
        <v>25</v>
      </c>
      <c r="B24" s="17">
        <v>133</v>
      </c>
      <c r="C24" s="18">
        <v>14.777777777777779</v>
      </c>
    </row>
    <row r="25" spans="1:3" x14ac:dyDescent="0.2">
      <c r="A25" s="10" t="s">
        <v>12</v>
      </c>
      <c r="B25" s="17">
        <v>68</v>
      </c>
      <c r="C25" s="18">
        <v>7.5555555555555554</v>
      </c>
    </row>
    <row r="26" spans="1:3" x14ac:dyDescent="0.2">
      <c r="A26" s="10" t="s">
        <v>55</v>
      </c>
      <c r="B26" s="17">
        <v>65</v>
      </c>
      <c r="C26" s="18">
        <v>7.2222222222222223</v>
      </c>
    </row>
    <row r="27" spans="1:3" x14ac:dyDescent="0.2">
      <c r="A27" s="8" t="s">
        <v>27</v>
      </c>
      <c r="B27" s="17">
        <v>215</v>
      </c>
      <c r="C27" s="18">
        <v>23.888888888888889</v>
      </c>
    </row>
    <row r="28" spans="1:3" x14ac:dyDescent="0.2">
      <c r="A28" s="10" t="s">
        <v>12</v>
      </c>
      <c r="B28" s="17">
        <v>70</v>
      </c>
      <c r="C28" s="18">
        <v>7.7777777777777777</v>
      </c>
    </row>
    <row r="29" spans="1:3" x14ac:dyDescent="0.2">
      <c r="A29" s="10" t="s">
        <v>73</v>
      </c>
      <c r="B29" s="17">
        <v>79</v>
      </c>
      <c r="C29" s="18">
        <v>8.7777777777777786</v>
      </c>
    </row>
    <row r="30" spans="1:3" x14ac:dyDescent="0.2">
      <c r="A30" s="10" t="s">
        <v>55</v>
      </c>
      <c r="B30" s="17">
        <v>66</v>
      </c>
      <c r="C30" s="18">
        <v>7.333333333333333</v>
      </c>
    </row>
    <row r="31" spans="1:3" x14ac:dyDescent="0.2">
      <c r="A31" s="8" t="s">
        <v>29</v>
      </c>
      <c r="B31" s="17">
        <v>105</v>
      </c>
      <c r="C31" s="18">
        <v>11.666666666666666</v>
      </c>
    </row>
    <row r="32" spans="1:3" x14ac:dyDescent="0.2">
      <c r="A32" s="10" t="s">
        <v>12</v>
      </c>
      <c r="B32" s="17">
        <v>64</v>
      </c>
      <c r="C32" s="18">
        <v>7.1111111111111107</v>
      </c>
    </row>
    <row r="33" spans="1:3" x14ac:dyDescent="0.2">
      <c r="A33" s="10" t="s">
        <v>55</v>
      </c>
      <c r="B33" s="17">
        <v>41</v>
      </c>
      <c r="C33" s="18">
        <v>4.5555555555555554</v>
      </c>
    </row>
    <row r="34" spans="1:3" x14ac:dyDescent="0.2">
      <c r="A34" s="8" t="s">
        <v>31</v>
      </c>
      <c r="B34" s="17">
        <v>133</v>
      </c>
      <c r="C34" s="18">
        <v>14.777777777777779</v>
      </c>
    </row>
    <row r="35" spans="1:3" x14ac:dyDescent="0.2">
      <c r="A35" s="10" t="s">
        <v>12</v>
      </c>
      <c r="B35" s="17">
        <v>73</v>
      </c>
      <c r="C35" s="18">
        <v>8.1111111111111107</v>
      </c>
    </row>
    <row r="36" spans="1:3" x14ac:dyDescent="0.2">
      <c r="A36" s="10" t="s">
        <v>55</v>
      </c>
      <c r="B36" s="17">
        <v>60</v>
      </c>
      <c r="C36" s="18">
        <v>6.666666666666667</v>
      </c>
    </row>
    <row r="37" spans="1:3" x14ac:dyDescent="0.2">
      <c r="A37" s="8" t="s">
        <v>33</v>
      </c>
      <c r="B37" s="17">
        <v>216</v>
      </c>
      <c r="C37" s="18">
        <v>24</v>
      </c>
    </row>
    <row r="38" spans="1:3" x14ac:dyDescent="0.2">
      <c r="A38" s="10" t="s">
        <v>12</v>
      </c>
      <c r="B38" s="17">
        <v>69</v>
      </c>
      <c r="C38" s="18">
        <v>7.666666666666667</v>
      </c>
    </row>
    <row r="39" spans="1:3" x14ac:dyDescent="0.2">
      <c r="A39" s="10" t="s">
        <v>73</v>
      </c>
      <c r="B39" s="17">
        <v>75</v>
      </c>
      <c r="C39" s="18">
        <v>8.3333333333333339</v>
      </c>
    </row>
    <row r="40" spans="1:3" x14ac:dyDescent="0.2">
      <c r="A40" s="10" t="s">
        <v>55</v>
      </c>
      <c r="B40" s="17">
        <v>72</v>
      </c>
      <c r="C40" s="18">
        <v>8</v>
      </c>
    </row>
    <row r="41" spans="1:3" x14ac:dyDescent="0.2">
      <c r="A41" s="8" t="s">
        <v>35</v>
      </c>
      <c r="B41" s="17">
        <v>239</v>
      </c>
      <c r="C41" s="18">
        <v>26.555555555555557</v>
      </c>
    </row>
    <row r="42" spans="1:3" x14ac:dyDescent="0.2">
      <c r="A42" s="10" t="s">
        <v>12</v>
      </c>
      <c r="B42" s="17">
        <v>79</v>
      </c>
      <c r="C42" s="18">
        <v>8.7777777777777786</v>
      </c>
    </row>
    <row r="43" spans="1:3" x14ac:dyDescent="0.2">
      <c r="A43" s="10" t="s">
        <v>73</v>
      </c>
      <c r="B43" s="17">
        <v>79</v>
      </c>
      <c r="C43" s="18">
        <v>8.7777777777777786</v>
      </c>
    </row>
    <row r="44" spans="1:3" x14ac:dyDescent="0.2">
      <c r="A44" s="10" t="s">
        <v>55</v>
      </c>
      <c r="B44" s="17">
        <v>81</v>
      </c>
      <c r="C44" s="18">
        <v>9</v>
      </c>
    </row>
    <row r="45" spans="1:3" x14ac:dyDescent="0.2">
      <c r="A45" s="8" t="s">
        <v>37</v>
      </c>
      <c r="B45" s="17">
        <v>148</v>
      </c>
      <c r="C45" s="18">
        <v>16.444444444444443</v>
      </c>
    </row>
    <row r="46" spans="1:3" x14ac:dyDescent="0.2">
      <c r="A46" s="10" t="s">
        <v>12</v>
      </c>
      <c r="B46" s="17">
        <v>70</v>
      </c>
      <c r="C46" s="18">
        <v>7.7777777777777777</v>
      </c>
    </row>
    <row r="47" spans="1:3" x14ac:dyDescent="0.2">
      <c r="A47" s="10" t="s">
        <v>55</v>
      </c>
      <c r="B47" s="17">
        <v>78</v>
      </c>
      <c r="C47" s="18">
        <v>8.6666666666666661</v>
      </c>
    </row>
    <row r="48" spans="1:3" x14ac:dyDescent="0.2">
      <c r="A48" s="8" t="s">
        <v>39</v>
      </c>
      <c r="B48" s="17">
        <v>215</v>
      </c>
      <c r="C48" s="18">
        <v>23.888888888888893</v>
      </c>
    </row>
    <row r="49" spans="1:3" x14ac:dyDescent="0.2">
      <c r="A49" s="10" t="s">
        <v>12</v>
      </c>
      <c r="B49" s="17">
        <v>75</v>
      </c>
      <c r="C49" s="18">
        <v>8.3333333333333339</v>
      </c>
    </row>
    <row r="50" spans="1:3" x14ac:dyDescent="0.2">
      <c r="A50" s="10" t="s">
        <v>73</v>
      </c>
      <c r="B50" s="17">
        <v>79</v>
      </c>
      <c r="C50" s="18">
        <v>8.7777777777777786</v>
      </c>
    </row>
    <row r="51" spans="1:3" x14ac:dyDescent="0.2">
      <c r="A51" s="10" t="s">
        <v>55</v>
      </c>
      <c r="B51" s="17">
        <v>61</v>
      </c>
      <c r="C51" s="18">
        <v>6.7777777777777777</v>
      </c>
    </row>
    <row r="52" spans="1:3" x14ac:dyDescent="0.2">
      <c r="A52" s="8" t="s">
        <v>75</v>
      </c>
      <c r="B52" s="17">
        <v>45</v>
      </c>
      <c r="C52" s="18">
        <v>5</v>
      </c>
    </row>
    <row r="53" spans="1:3" x14ac:dyDescent="0.2">
      <c r="A53" s="10" t="s">
        <v>55</v>
      </c>
      <c r="B53" s="17">
        <v>45</v>
      </c>
      <c r="C53" s="18">
        <v>5</v>
      </c>
    </row>
    <row r="54" spans="1:3" x14ac:dyDescent="0.2">
      <c r="A54" s="8" t="s">
        <v>41</v>
      </c>
      <c r="B54" s="17">
        <v>95</v>
      </c>
      <c r="C54" s="18">
        <v>10.555555555555555</v>
      </c>
    </row>
    <row r="55" spans="1:3" x14ac:dyDescent="0.2">
      <c r="A55" s="10" t="s">
        <v>12</v>
      </c>
      <c r="B55" s="17">
        <v>55</v>
      </c>
      <c r="C55" s="18">
        <v>6.1111111111111107</v>
      </c>
    </row>
    <row r="56" spans="1:3" x14ac:dyDescent="0.2">
      <c r="A56" s="10" t="s">
        <v>55</v>
      </c>
      <c r="B56" s="17">
        <v>40</v>
      </c>
      <c r="C56" s="18">
        <v>4.4444444444444446</v>
      </c>
    </row>
    <row r="57" spans="1:3" x14ac:dyDescent="0.2">
      <c r="A57" s="8" t="s">
        <v>43</v>
      </c>
      <c r="B57" s="17">
        <v>243</v>
      </c>
      <c r="C57" s="18">
        <v>27</v>
      </c>
    </row>
    <row r="58" spans="1:3" x14ac:dyDescent="0.2">
      <c r="A58" s="10" t="s">
        <v>12</v>
      </c>
      <c r="B58" s="17">
        <v>77</v>
      </c>
      <c r="C58" s="18">
        <v>8.5555555555555554</v>
      </c>
    </row>
    <row r="59" spans="1:3" x14ac:dyDescent="0.2">
      <c r="A59" s="10" t="s">
        <v>73</v>
      </c>
      <c r="B59" s="17">
        <v>78</v>
      </c>
      <c r="C59" s="18">
        <v>8.6666666666666661</v>
      </c>
    </row>
    <row r="60" spans="1:3" x14ac:dyDescent="0.2">
      <c r="A60" s="10" t="s">
        <v>55</v>
      </c>
      <c r="B60" s="17">
        <v>88</v>
      </c>
      <c r="C60" s="18">
        <v>9.7777777777777786</v>
      </c>
    </row>
    <row r="61" spans="1:3" x14ac:dyDescent="0.2">
      <c r="A61" s="8" t="s">
        <v>45</v>
      </c>
      <c r="B61" s="17">
        <v>188</v>
      </c>
      <c r="C61" s="18">
        <v>20.888888888888889</v>
      </c>
    </row>
    <row r="62" spans="1:3" x14ac:dyDescent="0.2">
      <c r="A62" s="10" t="s">
        <v>12</v>
      </c>
      <c r="B62" s="17">
        <v>67</v>
      </c>
      <c r="C62" s="18">
        <v>7.4444444444444446</v>
      </c>
    </row>
    <row r="63" spans="1:3" x14ac:dyDescent="0.2">
      <c r="A63" s="10" t="s">
        <v>73</v>
      </c>
      <c r="B63" s="17">
        <v>70</v>
      </c>
      <c r="C63" s="18">
        <v>7.7777777777777777</v>
      </c>
    </row>
    <row r="64" spans="1:3" x14ac:dyDescent="0.2">
      <c r="A64" s="10" t="s">
        <v>55</v>
      </c>
      <c r="B64" s="17">
        <v>51</v>
      </c>
      <c r="C64" s="18">
        <v>5.666666666666667</v>
      </c>
    </row>
    <row r="65" spans="1:3" x14ac:dyDescent="0.2">
      <c r="A65" s="8" t="s">
        <v>47</v>
      </c>
      <c r="B65" s="17">
        <v>216</v>
      </c>
      <c r="C65" s="18">
        <v>24</v>
      </c>
    </row>
    <row r="66" spans="1:3" x14ac:dyDescent="0.2">
      <c r="A66" s="10" t="s">
        <v>12</v>
      </c>
      <c r="B66" s="17">
        <v>79</v>
      </c>
      <c r="C66" s="18">
        <v>8.7777777777777786</v>
      </c>
    </row>
    <row r="67" spans="1:3" x14ac:dyDescent="0.2">
      <c r="A67" s="10" t="s">
        <v>73</v>
      </c>
      <c r="B67" s="17">
        <v>71</v>
      </c>
      <c r="C67" s="18">
        <v>7.8888888888888893</v>
      </c>
    </row>
    <row r="68" spans="1:3" x14ac:dyDescent="0.2">
      <c r="A68" s="10" t="s">
        <v>55</v>
      </c>
      <c r="B68" s="17">
        <v>66</v>
      </c>
      <c r="C68" s="18">
        <v>7.333333333333333</v>
      </c>
    </row>
    <row r="69" spans="1:3" x14ac:dyDescent="0.2">
      <c r="A69" s="8" t="s">
        <v>49</v>
      </c>
      <c r="B69" s="17">
        <v>227</v>
      </c>
      <c r="C69" s="18">
        <v>25.222222222222221</v>
      </c>
    </row>
    <row r="70" spans="1:3" x14ac:dyDescent="0.2">
      <c r="A70" s="10" t="s">
        <v>12</v>
      </c>
      <c r="B70" s="17">
        <v>80</v>
      </c>
      <c r="C70" s="18">
        <v>8.8888888888888893</v>
      </c>
    </row>
    <row r="71" spans="1:3" x14ac:dyDescent="0.2">
      <c r="A71" s="10" t="s">
        <v>73</v>
      </c>
      <c r="B71" s="17">
        <v>62</v>
      </c>
      <c r="C71" s="18">
        <v>6.8888888888888893</v>
      </c>
    </row>
    <row r="72" spans="1:3" x14ac:dyDescent="0.2">
      <c r="A72" s="10" t="s">
        <v>55</v>
      </c>
      <c r="B72" s="17">
        <v>85</v>
      </c>
      <c r="C72" s="18">
        <v>9.4444444444444446</v>
      </c>
    </row>
    <row r="73" spans="1:3" x14ac:dyDescent="0.2">
      <c r="A73" s="8" t="s">
        <v>51</v>
      </c>
      <c r="B73" s="17">
        <v>245</v>
      </c>
      <c r="C73" s="18">
        <v>27.222222222222221</v>
      </c>
    </row>
    <row r="74" spans="1:3" x14ac:dyDescent="0.2">
      <c r="A74" s="10" t="s">
        <v>12</v>
      </c>
      <c r="B74" s="17">
        <v>83</v>
      </c>
      <c r="C74" s="18">
        <v>9.2222222222222214</v>
      </c>
    </row>
    <row r="75" spans="1:3" x14ac:dyDescent="0.2">
      <c r="A75" s="10" t="s">
        <v>73</v>
      </c>
      <c r="B75" s="17">
        <v>81</v>
      </c>
      <c r="C75" s="18">
        <v>9</v>
      </c>
    </row>
    <row r="76" spans="1:3" x14ac:dyDescent="0.2">
      <c r="A76" s="10" t="s">
        <v>55</v>
      </c>
      <c r="B76" s="17">
        <v>81</v>
      </c>
      <c r="C76" s="18">
        <v>9</v>
      </c>
    </row>
    <row r="77" spans="1:3" x14ac:dyDescent="0.2">
      <c r="A77" s="8" t="s">
        <v>53</v>
      </c>
      <c r="B77" s="17">
        <v>202</v>
      </c>
      <c r="C77" s="18">
        <v>22.444444444444443</v>
      </c>
    </row>
    <row r="78" spans="1:3" x14ac:dyDescent="0.2">
      <c r="A78" s="10" t="s">
        <v>12</v>
      </c>
      <c r="B78" s="17">
        <v>68</v>
      </c>
      <c r="C78" s="18">
        <v>7.5555555555555554</v>
      </c>
    </row>
    <row r="79" spans="1:3" x14ac:dyDescent="0.2">
      <c r="A79" s="10" t="s">
        <v>73</v>
      </c>
      <c r="B79" s="17">
        <v>57</v>
      </c>
      <c r="C79" s="18">
        <v>6.333333333333333</v>
      </c>
    </row>
    <row r="80" spans="1:3" x14ac:dyDescent="0.2">
      <c r="A80" s="10" t="s">
        <v>55</v>
      </c>
      <c r="B80" s="17">
        <v>77</v>
      </c>
      <c r="C80" s="18">
        <v>8.5555555555555554</v>
      </c>
    </row>
    <row r="81" spans="1:3" x14ac:dyDescent="0.2">
      <c r="A81" s="9" t="s">
        <v>87</v>
      </c>
      <c r="B81" s="19">
        <v>3844</v>
      </c>
      <c r="C81" s="20">
        <v>427.11111111111114</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C2EFA-5687-4254-B3EC-041932906795}">
  <dimension ref="A1:C78"/>
  <sheetViews>
    <sheetView tabSelected="1" workbookViewId="0">
      <selection activeCell="A7" sqref="A7"/>
    </sheetView>
  </sheetViews>
  <sheetFormatPr defaultRowHeight="12.75" x14ac:dyDescent="0.2"/>
  <cols>
    <col min="1" max="1" width="28.42578125" bestFit="1" customWidth="1"/>
    <col min="2" max="2" width="15.42578125" bestFit="1" customWidth="1"/>
    <col min="3" max="3" width="15" bestFit="1" customWidth="1"/>
  </cols>
  <sheetData>
    <row r="1" spans="1:3" x14ac:dyDescent="0.2">
      <c r="A1" s="5" t="s">
        <v>86</v>
      </c>
      <c r="B1" s="5" t="s">
        <v>88</v>
      </c>
      <c r="C1" s="14" t="s">
        <v>91</v>
      </c>
    </row>
    <row r="2" spans="1:3" x14ac:dyDescent="0.2">
      <c r="A2" s="8" t="s">
        <v>51</v>
      </c>
      <c r="B2" s="17">
        <v>245</v>
      </c>
      <c r="C2" s="18">
        <v>27.222222222222221</v>
      </c>
    </row>
    <row r="3" spans="1:3" x14ac:dyDescent="0.2">
      <c r="A3" s="8" t="s">
        <v>43</v>
      </c>
      <c r="B3" s="17">
        <v>243</v>
      </c>
      <c r="C3" s="18">
        <v>27</v>
      </c>
    </row>
    <row r="4" spans="1:3" x14ac:dyDescent="0.2">
      <c r="A4" s="8" t="s">
        <v>35</v>
      </c>
      <c r="B4" s="17">
        <v>239</v>
      </c>
      <c r="C4" s="18">
        <v>26.555555555555557</v>
      </c>
    </row>
    <row r="5" spans="1:3" x14ac:dyDescent="0.2">
      <c r="A5" s="8" t="s">
        <v>49</v>
      </c>
      <c r="B5" s="17">
        <v>227</v>
      </c>
      <c r="C5" s="18">
        <v>25.222222222222221</v>
      </c>
    </row>
    <row r="6" spans="1:3" x14ac:dyDescent="0.2">
      <c r="A6" s="8" t="s">
        <v>19</v>
      </c>
      <c r="B6" s="17">
        <v>224</v>
      </c>
      <c r="C6" s="18">
        <v>24.888888888888893</v>
      </c>
    </row>
    <row r="7" spans="1:3" x14ac:dyDescent="0.2">
      <c r="A7" s="8" t="s">
        <v>13</v>
      </c>
      <c r="B7" s="17">
        <v>224</v>
      </c>
      <c r="C7" s="18">
        <v>24.888888888888889</v>
      </c>
    </row>
    <row r="8" spans="1:3" x14ac:dyDescent="0.2">
      <c r="A8" s="8" t="s">
        <v>33</v>
      </c>
      <c r="B8" s="17">
        <v>216</v>
      </c>
      <c r="C8" s="18">
        <v>24</v>
      </c>
    </row>
    <row r="9" spans="1:3" x14ac:dyDescent="0.2">
      <c r="A9" s="8" t="s">
        <v>47</v>
      </c>
      <c r="B9" s="17">
        <v>216</v>
      </c>
      <c r="C9" s="18">
        <v>24</v>
      </c>
    </row>
    <row r="10" spans="1:3" x14ac:dyDescent="0.2">
      <c r="A10" s="8" t="s">
        <v>39</v>
      </c>
      <c r="B10" s="17">
        <v>215</v>
      </c>
      <c r="C10" s="18">
        <v>23.888888888888893</v>
      </c>
    </row>
    <row r="11" spans="1:3" x14ac:dyDescent="0.2">
      <c r="A11" s="8" t="s">
        <v>27</v>
      </c>
      <c r="B11" s="17">
        <v>215</v>
      </c>
      <c r="C11" s="18">
        <v>23.888888888888889</v>
      </c>
    </row>
    <row r="12" spans="1:3" x14ac:dyDescent="0.2">
      <c r="A12" s="8" t="s">
        <v>53</v>
      </c>
      <c r="B12" s="17">
        <v>202</v>
      </c>
      <c r="C12" s="18">
        <v>22.444444444444443</v>
      </c>
    </row>
    <row r="13" spans="1:3" x14ac:dyDescent="0.2">
      <c r="A13" s="8" t="s">
        <v>21</v>
      </c>
      <c r="B13" s="17">
        <v>189</v>
      </c>
      <c r="C13" s="18">
        <v>21</v>
      </c>
    </row>
    <row r="14" spans="1:3" x14ac:dyDescent="0.2">
      <c r="A14" s="8" t="s">
        <v>45</v>
      </c>
      <c r="B14" s="17">
        <v>188</v>
      </c>
      <c r="C14" s="18">
        <v>20.888888888888889</v>
      </c>
    </row>
    <row r="15" spans="1:3" x14ac:dyDescent="0.2">
      <c r="A15" s="8" t="s">
        <v>37</v>
      </c>
      <c r="B15" s="17">
        <v>148</v>
      </c>
      <c r="C15" s="18">
        <v>16.444444444444443</v>
      </c>
    </row>
    <row r="16" spans="1:3" x14ac:dyDescent="0.2">
      <c r="A16" s="8" t="s">
        <v>17</v>
      </c>
      <c r="B16" s="17">
        <v>141</v>
      </c>
      <c r="C16" s="18">
        <v>15.666666666666666</v>
      </c>
    </row>
    <row r="17" spans="1:3" x14ac:dyDescent="0.2">
      <c r="A17" s="8" t="s">
        <v>15</v>
      </c>
      <c r="B17" s="17">
        <v>140</v>
      </c>
      <c r="C17" s="18">
        <v>15.555555555555555</v>
      </c>
    </row>
    <row r="18" spans="1:3" x14ac:dyDescent="0.2">
      <c r="A18" s="8" t="s">
        <v>25</v>
      </c>
      <c r="B18" s="17">
        <v>133</v>
      </c>
      <c r="C18" s="18">
        <v>14.777777777777779</v>
      </c>
    </row>
    <row r="19" spans="1:3" x14ac:dyDescent="0.2">
      <c r="A19" s="8" t="s">
        <v>31</v>
      </c>
      <c r="B19" s="17">
        <v>133</v>
      </c>
      <c r="C19" s="18">
        <v>14.777777777777779</v>
      </c>
    </row>
    <row r="20" spans="1:3" x14ac:dyDescent="0.2">
      <c r="A20" s="8" t="s">
        <v>29</v>
      </c>
      <c r="B20" s="17">
        <v>105</v>
      </c>
      <c r="C20" s="18">
        <v>11.666666666666666</v>
      </c>
    </row>
    <row r="21" spans="1:3" x14ac:dyDescent="0.2">
      <c r="A21" s="8" t="s">
        <v>41</v>
      </c>
      <c r="B21" s="17">
        <v>95</v>
      </c>
      <c r="C21" s="18">
        <v>10.555555555555555</v>
      </c>
    </row>
    <row r="22" spans="1:3" x14ac:dyDescent="0.2">
      <c r="A22" s="8" t="s">
        <v>23</v>
      </c>
      <c r="B22" s="17">
        <v>61</v>
      </c>
      <c r="C22" s="18">
        <v>6.7777777777777777</v>
      </c>
    </row>
    <row r="23" spans="1:3" x14ac:dyDescent="0.2">
      <c r="A23" s="8" t="s">
        <v>75</v>
      </c>
      <c r="B23" s="17">
        <v>45</v>
      </c>
      <c r="C23" s="18">
        <v>5</v>
      </c>
    </row>
    <row r="24" spans="1:3" x14ac:dyDescent="0.2">
      <c r="A24" s="10"/>
      <c r="B24" s="17"/>
      <c r="C24" s="18"/>
    </row>
    <row r="25" spans="1:3" x14ac:dyDescent="0.2">
      <c r="A25" s="10"/>
      <c r="B25" s="17"/>
      <c r="C25" s="18"/>
    </row>
    <row r="26" spans="1:3" x14ac:dyDescent="0.2">
      <c r="A26" s="10"/>
      <c r="B26" s="17"/>
      <c r="C26" s="18"/>
    </row>
    <row r="27" spans="1:3" x14ac:dyDescent="0.2">
      <c r="A27" s="10"/>
      <c r="B27" s="17"/>
      <c r="C27" s="18"/>
    </row>
    <row r="28" spans="1:3" x14ac:dyDescent="0.2">
      <c r="A28" s="10"/>
      <c r="B28" s="17"/>
      <c r="C28" s="18"/>
    </row>
    <row r="29" spans="1:3" x14ac:dyDescent="0.2">
      <c r="A29" s="10"/>
      <c r="B29" s="17"/>
      <c r="C29" s="18"/>
    </row>
    <row r="30" spans="1:3" x14ac:dyDescent="0.2">
      <c r="A30" s="10"/>
      <c r="B30" s="17"/>
      <c r="C30" s="18"/>
    </row>
    <row r="31" spans="1:3" x14ac:dyDescent="0.2">
      <c r="A31" s="10"/>
      <c r="B31" s="17"/>
      <c r="C31" s="18"/>
    </row>
    <row r="32" spans="1:3" x14ac:dyDescent="0.2">
      <c r="A32" s="10"/>
      <c r="B32" s="17"/>
      <c r="C32" s="18"/>
    </row>
    <row r="33" spans="1:3" x14ac:dyDescent="0.2">
      <c r="A33" s="10"/>
      <c r="B33" s="17"/>
      <c r="C33" s="18"/>
    </row>
    <row r="34" spans="1:3" x14ac:dyDescent="0.2">
      <c r="A34" s="10"/>
      <c r="B34" s="17"/>
      <c r="C34" s="18"/>
    </row>
    <row r="35" spans="1:3" x14ac:dyDescent="0.2">
      <c r="A35" s="10"/>
      <c r="B35" s="17"/>
      <c r="C35" s="18"/>
    </row>
    <row r="36" spans="1:3" x14ac:dyDescent="0.2">
      <c r="A36" s="10"/>
      <c r="B36" s="17"/>
      <c r="C36" s="18"/>
    </row>
    <row r="37" spans="1:3" x14ac:dyDescent="0.2">
      <c r="A37" s="10"/>
      <c r="B37" s="17"/>
      <c r="C37" s="18"/>
    </row>
    <row r="38" spans="1:3" x14ac:dyDescent="0.2">
      <c r="A38" s="10"/>
      <c r="B38" s="17"/>
      <c r="C38" s="18"/>
    </row>
    <row r="39" spans="1:3" x14ac:dyDescent="0.2">
      <c r="A39" s="10"/>
      <c r="B39" s="17"/>
      <c r="C39" s="18"/>
    </row>
    <row r="40" spans="1:3" x14ac:dyDescent="0.2">
      <c r="A40" s="10"/>
      <c r="B40" s="17"/>
      <c r="C40" s="18"/>
    </row>
    <row r="41" spans="1:3" x14ac:dyDescent="0.2">
      <c r="A41" s="10"/>
      <c r="B41" s="17"/>
      <c r="C41" s="18"/>
    </row>
    <row r="42" spans="1:3" x14ac:dyDescent="0.2">
      <c r="A42" s="10"/>
      <c r="B42" s="17"/>
      <c r="C42" s="18"/>
    </row>
    <row r="43" spans="1:3" x14ac:dyDescent="0.2">
      <c r="A43" s="10"/>
      <c r="B43" s="17"/>
      <c r="C43" s="18"/>
    </row>
    <row r="44" spans="1:3" x14ac:dyDescent="0.2">
      <c r="A44" s="10"/>
      <c r="B44" s="17"/>
      <c r="C44" s="18"/>
    </row>
    <row r="45" spans="1:3" x14ac:dyDescent="0.2">
      <c r="A45" s="10"/>
      <c r="B45" s="17"/>
      <c r="C45" s="18"/>
    </row>
    <row r="46" spans="1:3" x14ac:dyDescent="0.2">
      <c r="A46" s="10"/>
      <c r="B46" s="17"/>
      <c r="C46" s="18"/>
    </row>
    <row r="47" spans="1:3" x14ac:dyDescent="0.2">
      <c r="A47" s="10"/>
      <c r="B47" s="17"/>
      <c r="C47" s="18"/>
    </row>
    <row r="48" spans="1:3" x14ac:dyDescent="0.2">
      <c r="A48" s="10"/>
      <c r="B48" s="17"/>
      <c r="C48" s="18"/>
    </row>
    <row r="49" spans="1:3" x14ac:dyDescent="0.2">
      <c r="A49" s="10"/>
      <c r="B49" s="17"/>
      <c r="C49" s="18"/>
    </row>
    <row r="50" spans="1:3" x14ac:dyDescent="0.2">
      <c r="A50" s="10"/>
      <c r="B50" s="17"/>
      <c r="C50" s="18"/>
    </row>
    <row r="51" spans="1:3" x14ac:dyDescent="0.2">
      <c r="A51" s="10"/>
      <c r="B51" s="17"/>
      <c r="C51" s="18"/>
    </row>
    <row r="52" spans="1:3" x14ac:dyDescent="0.2">
      <c r="A52" s="10"/>
      <c r="B52" s="17"/>
      <c r="C52" s="18"/>
    </row>
    <row r="53" spans="1:3" x14ac:dyDescent="0.2">
      <c r="A53" s="10"/>
      <c r="B53" s="17"/>
      <c r="C53" s="18"/>
    </row>
    <row r="54" spans="1:3" x14ac:dyDescent="0.2">
      <c r="A54" s="10"/>
      <c r="B54" s="17"/>
      <c r="C54" s="18"/>
    </row>
    <row r="55" spans="1:3" x14ac:dyDescent="0.2">
      <c r="A55" s="10"/>
      <c r="B55" s="17"/>
      <c r="C55" s="18"/>
    </row>
    <row r="56" spans="1:3" x14ac:dyDescent="0.2">
      <c r="A56" s="10"/>
      <c r="B56" s="17"/>
      <c r="C56" s="18"/>
    </row>
    <row r="57" spans="1:3" x14ac:dyDescent="0.2">
      <c r="A57" s="10"/>
      <c r="B57" s="17"/>
      <c r="C57" s="18"/>
    </row>
    <row r="58" spans="1:3" x14ac:dyDescent="0.2">
      <c r="A58" s="10"/>
      <c r="B58" s="17"/>
      <c r="C58" s="18"/>
    </row>
    <row r="59" spans="1:3" x14ac:dyDescent="0.2">
      <c r="A59" s="10"/>
      <c r="B59" s="17"/>
      <c r="C59" s="18"/>
    </row>
    <row r="60" spans="1:3" x14ac:dyDescent="0.2">
      <c r="A60" s="10"/>
      <c r="B60" s="17"/>
      <c r="C60" s="18"/>
    </row>
    <row r="61" spans="1:3" x14ac:dyDescent="0.2">
      <c r="A61" s="10"/>
      <c r="B61" s="17"/>
      <c r="C61" s="18"/>
    </row>
    <row r="62" spans="1:3" x14ac:dyDescent="0.2">
      <c r="A62" s="10"/>
      <c r="B62" s="17"/>
      <c r="C62" s="18"/>
    </row>
    <row r="63" spans="1:3" x14ac:dyDescent="0.2">
      <c r="A63" s="10"/>
      <c r="B63" s="17"/>
      <c r="C63" s="18"/>
    </row>
    <row r="64" spans="1:3" x14ac:dyDescent="0.2">
      <c r="A64" s="10"/>
      <c r="B64" s="17"/>
      <c r="C64" s="18"/>
    </row>
    <row r="65" spans="1:3" x14ac:dyDescent="0.2">
      <c r="A65" s="10"/>
      <c r="B65" s="17"/>
      <c r="C65" s="18"/>
    </row>
    <row r="66" spans="1:3" x14ac:dyDescent="0.2">
      <c r="A66" s="10"/>
      <c r="B66" s="17"/>
      <c r="C66" s="18"/>
    </row>
    <row r="67" spans="1:3" x14ac:dyDescent="0.2">
      <c r="A67" s="10"/>
      <c r="B67" s="17"/>
      <c r="C67" s="18"/>
    </row>
    <row r="68" spans="1:3" x14ac:dyDescent="0.2">
      <c r="A68" s="10"/>
      <c r="B68" s="17"/>
      <c r="C68" s="18"/>
    </row>
    <row r="69" spans="1:3" x14ac:dyDescent="0.2">
      <c r="A69" s="10"/>
      <c r="B69" s="17"/>
      <c r="C69" s="18"/>
    </row>
    <row r="70" spans="1:3" x14ac:dyDescent="0.2">
      <c r="A70" s="10"/>
      <c r="B70" s="17"/>
      <c r="C70" s="18"/>
    </row>
    <row r="71" spans="1:3" x14ac:dyDescent="0.2">
      <c r="A71" s="10"/>
      <c r="B71" s="17"/>
      <c r="C71" s="18"/>
    </row>
    <row r="72" spans="1:3" x14ac:dyDescent="0.2">
      <c r="A72" s="10"/>
      <c r="B72" s="17"/>
      <c r="C72" s="18"/>
    </row>
    <row r="73" spans="1:3" x14ac:dyDescent="0.2">
      <c r="A73" s="10"/>
      <c r="B73" s="17"/>
      <c r="C73" s="18"/>
    </row>
    <row r="74" spans="1:3" x14ac:dyDescent="0.2">
      <c r="A74" s="10"/>
      <c r="B74" s="17"/>
      <c r="C74" s="18"/>
    </row>
    <row r="75" spans="1:3" x14ac:dyDescent="0.2">
      <c r="A75" s="10"/>
      <c r="B75" s="17"/>
      <c r="C75" s="18"/>
    </row>
    <row r="76" spans="1:3" x14ac:dyDescent="0.2">
      <c r="A76" s="10"/>
      <c r="B76" s="17"/>
      <c r="C76" s="18"/>
    </row>
    <row r="77" spans="1:3" x14ac:dyDescent="0.2">
      <c r="A77" s="10"/>
      <c r="B77" s="17"/>
      <c r="C77" s="18"/>
    </row>
    <row r="78" spans="1:3" x14ac:dyDescent="0.2">
      <c r="A78" s="21"/>
      <c r="B78" s="19"/>
      <c r="C78" s="20"/>
    </row>
  </sheetData>
  <autoFilter ref="A1:C1" xr:uid="{F7AC2EFA-5687-4254-B3EC-041932906795}">
    <sortState xmlns:xlrd2="http://schemas.microsoft.com/office/spreadsheetml/2017/richdata2" ref="A2:C1">
      <sortCondition descending="1" ref="C1"/>
    </sortState>
  </autoFilter>
  <sortState xmlns:xlrd2="http://schemas.microsoft.com/office/spreadsheetml/2017/richdata2" ref="A2:C78">
    <sortCondition descending="1" ref="C1:C78"/>
  </sortState>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56"/>
  <sheetViews>
    <sheetView workbookViewId="0">
      <pane ySplit="1" topLeftCell="A12" activePane="bottomLeft" state="frozen"/>
      <selection pane="bottomLeft" activeCell="C50" sqref="C50"/>
    </sheetView>
  </sheetViews>
  <sheetFormatPr defaultColWidth="12.5703125" defaultRowHeight="15.75" customHeight="1" x14ac:dyDescent="0.2"/>
  <cols>
    <col min="1" max="1" width="21.28515625" customWidth="1"/>
    <col min="2" max="2" width="20" customWidth="1"/>
    <col min="3" max="3" width="18.85546875" customWidth="1"/>
    <col min="4" max="4" width="21" customWidth="1"/>
    <col min="5" max="5" width="26.42578125" customWidth="1"/>
    <col min="6" max="6" width="23.85546875" customWidth="1"/>
    <col min="7" max="7" width="22.85546875" customWidth="1"/>
    <col min="8" max="8" width="24.5703125" customWidth="1"/>
    <col min="9" max="9" width="24.140625" customWidth="1"/>
    <col min="10" max="11" width="18.85546875" customWidth="1"/>
    <col min="12" max="14" width="26.140625" customWidth="1"/>
    <col min="15" max="15" width="37.5703125" customWidth="1"/>
    <col min="16" max="21" width="18.85546875" customWidth="1"/>
  </cols>
  <sheetData>
    <row r="1" spans="1:15" ht="22.5" customHeight="1" x14ac:dyDescent="0.2">
      <c r="A1" s="1" t="s">
        <v>0</v>
      </c>
      <c r="B1" s="2" t="s">
        <v>85</v>
      </c>
      <c r="C1" s="2" t="s">
        <v>1</v>
      </c>
      <c r="D1" s="2" t="s">
        <v>2</v>
      </c>
      <c r="E1" s="2" t="s">
        <v>3</v>
      </c>
      <c r="F1" s="2" t="s">
        <v>4</v>
      </c>
      <c r="G1" s="2" t="s">
        <v>5</v>
      </c>
      <c r="H1" s="2" t="s">
        <v>6</v>
      </c>
      <c r="I1" s="2" t="s">
        <v>7</v>
      </c>
      <c r="J1" s="2" t="s">
        <v>8</v>
      </c>
      <c r="K1" s="2" t="s">
        <v>9</v>
      </c>
      <c r="L1" s="2" t="s">
        <v>10</v>
      </c>
      <c r="M1" s="2" t="s">
        <v>90</v>
      </c>
      <c r="N1" s="2" t="s">
        <v>84</v>
      </c>
      <c r="O1" s="2" t="s">
        <v>11</v>
      </c>
    </row>
    <row r="2" spans="1:15" ht="22.5" customHeight="1" x14ac:dyDescent="0.2">
      <c r="A2" s="3">
        <v>46290.630845289357</v>
      </c>
      <c r="B2" s="4" t="s">
        <v>12</v>
      </c>
      <c r="C2" s="4" t="s">
        <v>13</v>
      </c>
      <c r="D2" s="4">
        <v>9</v>
      </c>
      <c r="E2" s="4">
        <v>7</v>
      </c>
      <c r="F2" s="4">
        <v>9</v>
      </c>
      <c r="G2" s="4">
        <v>9</v>
      </c>
      <c r="H2" s="4">
        <v>8</v>
      </c>
      <c r="I2" s="4">
        <v>8</v>
      </c>
      <c r="J2" s="4">
        <v>10</v>
      </c>
      <c r="K2" s="4">
        <v>10</v>
      </c>
      <c r="L2" s="4">
        <v>8</v>
      </c>
      <c r="M2" s="13">
        <f>AVERAGE(Form_Responses[[#This Row],[Adequação ao Tema]:[POTENCIAL DE VENCEDOR]])</f>
        <v>8.6666666666666661</v>
      </c>
      <c r="N2" s="4">
        <f>SUM(Form_Responses[[#This Row],[Adequação ao Tema]:[POTENCIAL DE VENCEDOR]])</f>
        <v>78</v>
      </c>
      <c r="O2" s="4" t="s">
        <v>14</v>
      </c>
    </row>
    <row r="3" spans="1:15" ht="22.5" customHeight="1" x14ac:dyDescent="0.2">
      <c r="A3" s="3">
        <v>46290.633141921295</v>
      </c>
      <c r="B3" s="4" t="s">
        <v>12</v>
      </c>
      <c r="C3" s="4" t="s">
        <v>15</v>
      </c>
      <c r="D3" s="4">
        <v>9</v>
      </c>
      <c r="E3" s="4">
        <v>7</v>
      </c>
      <c r="F3" s="4">
        <v>6</v>
      </c>
      <c r="G3" s="4">
        <v>8</v>
      </c>
      <c r="H3" s="4">
        <v>7</v>
      </c>
      <c r="I3" s="4">
        <v>8</v>
      </c>
      <c r="J3" s="4">
        <v>10</v>
      </c>
      <c r="K3" s="4">
        <v>10</v>
      </c>
      <c r="L3" s="4">
        <v>5</v>
      </c>
      <c r="M3" s="13">
        <f>AVERAGE(Form_Responses[[#This Row],[Adequação ao Tema]:[POTENCIAL DE VENCEDOR]])</f>
        <v>7.7777777777777777</v>
      </c>
      <c r="N3" s="4">
        <f>SUM(Form_Responses[[#This Row],[Adequação ao Tema]:[POTENCIAL DE VENCEDOR]])</f>
        <v>70</v>
      </c>
      <c r="O3" s="4" t="s">
        <v>16</v>
      </c>
    </row>
    <row r="4" spans="1:15" ht="22.5" customHeight="1" x14ac:dyDescent="0.2">
      <c r="A4" s="3">
        <v>46290.639496574076</v>
      </c>
      <c r="B4" s="4" t="s">
        <v>12</v>
      </c>
      <c r="C4" s="4" t="s">
        <v>17</v>
      </c>
      <c r="D4" s="4">
        <v>8</v>
      </c>
      <c r="E4" s="4">
        <v>7</v>
      </c>
      <c r="F4" s="4">
        <v>6</v>
      </c>
      <c r="G4" s="4">
        <v>8</v>
      </c>
      <c r="H4" s="4">
        <v>9</v>
      </c>
      <c r="I4" s="4">
        <v>9</v>
      </c>
      <c r="J4" s="4">
        <v>10</v>
      </c>
      <c r="K4" s="4">
        <v>9</v>
      </c>
      <c r="L4" s="4">
        <v>8</v>
      </c>
      <c r="M4" s="13">
        <f>AVERAGE(Form_Responses[[#This Row],[Adequação ao Tema]:[POTENCIAL DE VENCEDOR]])</f>
        <v>8.2222222222222214</v>
      </c>
      <c r="N4" s="4">
        <f>SUM(Form_Responses[[#This Row],[Adequação ao Tema]:[POTENCIAL DE VENCEDOR]])</f>
        <v>74</v>
      </c>
      <c r="O4" s="4" t="s">
        <v>18</v>
      </c>
    </row>
    <row r="5" spans="1:15" ht="22.5" customHeight="1" x14ac:dyDescent="0.2">
      <c r="A5" s="3">
        <v>46290.644987442131</v>
      </c>
      <c r="B5" s="4" t="s">
        <v>12</v>
      </c>
      <c r="C5" s="4" t="s">
        <v>19</v>
      </c>
      <c r="D5" s="4">
        <v>9</v>
      </c>
      <c r="E5" s="4">
        <v>9</v>
      </c>
      <c r="F5" s="4">
        <v>8</v>
      </c>
      <c r="G5" s="4">
        <v>6</v>
      </c>
      <c r="H5" s="4">
        <v>9</v>
      </c>
      <c r="I5" s="4">
        <v>9</v>
      </c>
      <c r="J5" s="4">
        <v>10</v>
      </c>
      <c r="K5" s="4">
        <v>9</v>
      </c>
      <c r="L5" s="4">
        <v>8</v>
      </c>
      <c r="M5" s="13">
        <f>AVERAGE(Form_Responses[[#This Row],[Adequação ao Tema]:[POTENCIAL DE VENCEDOR]])</f>
        <v>8.5555555555555554</v>
      </c>
      <c r="N5" s="4">
        <f>SUM(Form_Responses[[#This Row],[Adequação ao Tema]:[POTENCIAL DE VENCEDOR]])</f>
        <v>77</v>
      </c>
      <c r="O5" s="4" t="s">
        <v>20</v>
      </c>
    </row>
    <row r="6" spans="1:15" ht="22.5" customHeight="1" x14ac:dyDescent="0.2">
      <c r="A6" s="3">
        <v>46290.656415034726</v>
      </c>
      <c r="B6" s="4" t="s">
        <v>12</v>
      </c>
      <c r="C6" s="4" t="s">
        <v>21</v>
      </c>
      <c r="D6" s="4">
        <v>8</v>
      </c>
      <c r="E6" s="4">
        <v>9</v>
      </c>
      <c r="F6" s="4">
        <v>8</v>
      </c>
      <c r="G6" s="4">
        <v>7</v>
      </c>
      <c r="H6" s="4">
        <v>8</v>
      </c>
      <c r="I6" s="4">
        <v>9</v>
      </c>
      <c r="J6" s="4">
        <v>10</v>
      </c>
      <c r="K6" s="4">
        <v>10</v>
      </c>
      <c r="L6" s="4">
        <v>8</v>
      </c>
      <c r="M6" s="13">
        <f>AVERAGE(Form_Responses[[#This Row],[Adequação ao Tema]:[POTENCIAL DE VENCEDOR]])</f>
        <v>8.5555555555555554</v>
      </c>
      <c r="N6" s="4">
        <f>SUM(Form_Responses[[#This Row],[Adequação ao Tema]:[POTENCIAL DE VENCEDOR]])</f>
        <v>77</v>
      </c>
      <c r="O6" s="4" t="s">
        <v>22</v>
      </c>
    </row>
    <row r="7" spans="1:15" ht="22.5" customHeight="1" x14ac:dyDescent="0.2">
      <c r="A7" s="3">
        <v>46290.659551539356</v>
      </c>
      <c r="B7" s="4" t="s">
        <v>12</v>
      </c>
      <c r="C7" s="4" t="s">
        <v>23</v>
      </c>
      <c r="D7" s="4">
        <v>7</v>
      </c>
      <c r="E7" s="4">
        <v>8</v>
      </c>
      <c r="F7" s="4">
        <v>6</v>
      </c>
      <c r="G7" s="4">
        <v>7</v>
      </c>
      <c r="H7" s="4">
        <v>6</v>
      </c>
      <c r="I7" s="4">
        <v>5</v>
      </c>
      <c r="J7" s="4">
        <v>9</v>
      </c>
      <c r="K7" s="4">
        <v>8</v>
      </c>
      <c r="L7" s="4">
        <v>5</v>
      </c>
      <c r="M7" s="13">
        <f>AVERAGE(Form_Responses[[#This Row],[Adequação ao Tema]:[POTENCIAL DE VENCEDOR]])</f>
        <v>6.7777777777777777</v>
      </c>
      <c r="N7" s="4">
        <f>SUM(Form_Responses[[#This Row],[Adequação ao Tema]:[POTENCIAL DE VENCEDOR]])</f>
        <v>61</v>
      </c>
      <c r="O7" s="4" t="s">
        <v>24</v>
      </c>
    </row>
    <row r="8" spans="1:15" ht="22.5" customHeight="1" x14ac:dyDescent="0.2">
      <c r="A8" s="3">
        <v>46290.662385300922</v>
      </c>
      <c r="B8" s="4" t="s">
        <v>12</v>
      </c>
      <c r="C8" s="4" t="s">
        <v>25</v>
      </c>
      <c r="D8" s="4">
        <v>6</v>
      </c>
      <c r="E8" s="4">
        <v>6</v>
      </c>
      <c r="F8" s="4">
        <v>6</v>
      </c>
      <c r="G8" s="4">
        <v>8</v>
      </c>
      <c r="H8" s="4">
        <v>7</v>
      </c>
      <c r="I8" s="4">
        <v>9</v>
      </c>
      <c r="J8" s="4">
        <v>10</v>
      </c>
      <c r="K8" s="4">
        <v>10</v>
      </c>
      <c r="L8" s="4">
        <v>6</v>
      </c>
      <c r="M8" s="13">
        <f>AVERAGE(Form_Responses[[#This Row],[Adequação ao Tema]:[POTENCIAL DE VENCEDOR]])</f>
        <v>7.5555555555555554</v>
      </c>
      <c r="N8" s="4">
        <f>SUM(Form_Responses[[#This Row],[Adequação ao Tema]:[POTENCIAL DE VENCEDOR]])</f>
        <v>68</v>
      </c>
      <c r="O8" s="4" t="s">
        <v>26</v>
      </c>
    </row>
    <row r="9" spans="1:15" ht="22.5" customHeight="1" x14ac:dyDescent="0.2">
      <c r="A9" s="3">
        <v>46290.668816493053</v>
      </c>
      <c r="B9" s="4" t="s">
        <v>12</v>
      </c>
      <c r="C9" s="4" t="s">
        <v>27</v>
      </c>
      <c r="D9" s="4">
        <v>6</v>
      </c>
      <c r="E9" s="4">
        <v>7</v>
      </c>
      <c r="F9" s="4">
        <v>7</v>
      </c>
      <c r="G9" s="4">
        <v>8</v>
      </c>
      <c r="H9" s="4">
        <v>8</v>
      </c>
      <c r="I9" s="4">
        <v>9</v>
      </c>
      <c r="J9" s="4">
        <v>10</v>
      </c>
      <c r="K9" s="4">
        <v>9</v>
      </c>
      <c r="L9" s="4">
        <v>6</v>
      </c>
      <c r="M9" s="13">
        <f>AVERAGE(Form_Responses[[#This Row],[Adequação ao Tema]:[POTENCIAL DE VENCEDOR]])</f>
        <v>7.7777777777777777</v>
      </c>
      <c r="N9" s="4">
        <f>SUM(Form_Responses[[#This Row],[Adequação ao Tema]:[POTENCIAL DE VENCEDOR]])</f>
        <v>70</v>
      </c>
      <c r="O9" s="4" t="s">
        <v>28</v>
      </c>
    </row>
    <row r="10" spans="1:15" ht="22.5" customHeight="1" x14ac:dyDescent="0.2">
      <c r="A10" s="3">
        <v>46290.677725358793</v>
      </c>
      <c r="B10" s="4" t="s">
        <v>12</v>
      </c>
      <c r="C10" s="4" t="s">
        <v>29</v>
      </c>
      <c r="D10" s="4">
        <v>6</v>
      </c>
      <c r="E10" s="4">
        <v>7</v>
      </c>
      <c r="F10" s="4">
        <v>7</v>
      </c>
      <c r="G10" s="4">
        <v>8</v>
      </c>
      <c r="H10" s="4">
        <v>6</v>
      </c>
      <c r="I10" s="4">
        <v>7</v>
      </c>
      <c r="J10" s="4">
        <v>9</v>
      </c>
      <c r="K10" s="4">
        <v>8</v>
      </c>
      <c r="L10" s="4">
        <v>6</v>
      </c>
      <c r="M10" s="13">
        <f>AVERAGE(Form_Responses[[#This Row],[Adequação ao Tema]:[POTENCIAL DE VENCEDOR]])</f>
        <v>7.1111111111111107</v>
      </c>
      <c r="N10" s="4">
        <f>SUM(Form_Responses[[#This Row],[Adequação ao Tema]:[POTENCIAL DE VENCEDOR]])</f>
        <v>64</v>
      </c>
      <c r="O10" s="4" t="s">
        <v>30</v>
      </c>
    </row>
    <row r="11" spans="1:15" ht="22.5" customHeight="1" x14ac:dyDescent="0.2">
      <c r="A11" s="3">
        <v>46290.680622442131</v>
      </c>
      <c r="B11" s="4" t="s">
        <v>12</v>
      </c>
      <c r="C11" s="4" t="s">
        <v>31</v>
      </c>
      <c r="D11" s="4">
        <v>8</v>
      </c>
      <c r="E11" s="4">
        <v>6</v>
      </c>
      <c r="F11" s="4">
        <v>7</v>
      </c>
      <c r="G11" s="4">
        <v>9</v>
      </c>
      <c r="H11" s="4">
        <v>9</v>
      </c>
      <c r="I11" s="4">
        <v>9</v>
      </c>
      <c r="J11" s="4">
        <v>10</v>
      </c>
      <c r="K11" s="4">
        <v>10</v>
      </c>
      <c r="L11" s="4">
        <v>5</v>
      </c>
      <c r="M11" s="13">
        <f>AVERAGE(Form_Responses[[#This Row],[Adequação ao Tema]:[POTENCIAL DE VENCEDOR]])</f>
        <v>8.1111111111111107</v>
      </c>
      <c r="N11" s="4">
        <f>SUM(Form_Responses[[#This Row],[Adequação ao Tema]:[POTENCIAL DE VENCEDOR]])</f>
        <v>73</v>
      </c>
      <c r="O11" s="4" t="s">
        <v>32</v>
      </c>
    </row>
    <row r="12" spans="1:15" ht="22.5" customHeight="1" x14ac:dyDescent="0.2">
      <c r="A12" s="3">
        <v>46290.684554525462</v>
      </c>
      <c r="B12" s="4" t="s">
        <v>12</v>
      </c>
      <c r="C12" s="4" t="s">
        <v>33</v>
      </c>
      <c r="D12" s="4">
        <v>6</v>
      </c>
      <c r="E12" s="4">
        <v>7</v>
      </c>
      <c r="F12" s="4">
        <v>7</v>
      </c>
      <c r="G12" s="4">
        <v>7</v>
      </c>
      <c r="H12" s="4">
        <v>7</v>
      </c>
      <c r="I12" s="4">
        <v>9</v>
      </c>
      <c r="J12" s="4">
        <v>10</v>
      </c>
      <c r="K12" s="4">
        <v>9</v>
      </c>
      <c r="L12" s="4">
        <v>7</v>
      </c>
      <c r="M12" s="13">
        <f>AVERAGE(Form_Responses[[#This Row],[Adequação ao Tema]:[POTENCIAL DE VENCEDOR]])</f>
        <v>7.666666666666667</v>
      </c>
      <c r="N12" s="4">
        <f>SUM(Form_Responses[[#This Row],[Adequação ao Tema]:[POTENCIAL DE VENCEDOR]])</f>
        <v>69</v>
      </c>
      <c r="O12" s="4" t="s">
        <v>34</v>
      </c>
    </row>
    <row r="13" spans="1:15" ht="22.5" customHeight="1" x14ac:dyDescent="0.2">
      <c r="A13" s="3">
        <v>46290.691564027773</v>
      </c>
      <c r="B13" s="4" t="s">
        <v>12</v>
      </c>
      <c r="C13" s="4" t="s">
        <v>35</v>
      </c>
      <c r="D13" s="4">
        <v>7</v>
      </c>
      <c r="E13" s="4">
        <v>7</v>
      </c>
      <c r="F13" s="4">
        <v>9</v>
      </c>
      <c r="G13" s="4">
        <v>10</v>
      </c>
      <c r="H13" s="4">
        <v>9</v>
      </c>
      <c r="I13" s="4">
        <v>9</v>
      </c>
      <c r="J13" s="4">
        <v>10</v>
      </c>
      <c r="K13" s="4">
        <v>10</v>
      </c>
      <c r="L13" s="4">
        <v>8</v>
      </c>
      <c r="M13" s="13">
        <f>AVERAGE(Form_Responses[[#This Row],[Adequação ao Tema]:[POTENCIAL DE VENCEDOR]])</f>
        <v>8.7777777777777786</v>
      </c>
      <c r="N13" s="4">
        <f>SUM(Form_Responses[[#This Row],[Adequação ao Tema]:[POTENCIAL DE VENCEDOR]])</f>
        <v>79</v>
      </c>
      <c r="O13" s="4" t="s">
        <v>36</v>
      </c>
    </row>
    <row r="14" spans="1:15" ht="22.5" customHeight="1" x14ac:dyDescent="0.2">
      <c r="A14" s="3">
        <v>46290.695388784719</v>
      </c>
      <c r="B14" s="4" t="s">
        <v>12</v>
      </c>
      <c r="C14" s="4" t="s">
        <v>37</v>
      </c>
      <c r="D14" s="4">
        <v>6</v>
      </c>
      <c r="E14" s="4">
        <v>7</v>
      </c>
      <c r="F14" s="4">
        <v>7</v>
      </c>
      <c r="G14" s="4">
        <v>8</v>
      </c>
      <c r="H14" s="4">
        <v>8</v>
      </c>
      <c r="I14" s="4">
        <v>8</v>
      </c>
      <c r="J14" s="4">
        <v>10</v>
      </c>
      <c r="K14" s="4">
        <v>9</v>
      </c>
      <c r="L14" s="4">
        <v>7</v>
      </c>
      <c r="M14" s="13">
        <f>AVERAGE(Form_Responses[[#This Row],[Adequação ao Tema]:[POTENCIAL DE VENCEDOR]])</f>
        <v>7.7777777777777777</v>
      </c>
      <c r="N14" s="4">
        <f>SUM(Form_Responses[[#This Row],[Adequação ao Tema]:[POTENCIAL DE VENCEDOR]])</f>
        <v>70</v>
      </c>
      <c r="O14" s="4" t="s">
        <v>38</v>
      </c>
    </row>
    <row r="15" spans="1:15" ht="22.5" customHeight="1" x14ac:dyDescent="0.2">
      <c r="A15" s="3">
        <v>46290.703379814819</v>
      </c>
      <c r="B15" s="4" t="s">
        <v>12</v>
      </c>
      <c r="C15" s="4" t="s">
        <v>39</v>
      </c>
      <c r="D15" s="4">
        <v>7</v>
      </c>
      <c r="E15" s="4">
        <v>9</v>
      </c>
      <c r="F15" s="4">
        <v>9</v>
      </c>
      <c r="G15" s="4">
        <v>8</v>
      </c>
      <c r="H15" s="4">
        <v>8</v>
      </c>
      <c r="I15" s="4">
        <v>9</v>
      </c>
      <c r="J15" s="4">
        <v>9</v>
      </c>
      <c r="K15" s="4">
        <v>9</v>
      </c>
      <c r="L15" s="4">
        <v>7</v>
      </c>
      <c r="M15" s="13">
        <f>AVERAGE(Form_Responses[[#This Row],[Adequação ao Tema]:[POTENCIAL DE VENCEDOR]])</f>
        <v>8.3333333333333339</v>
      </c>
      <c r="N15" s="4">
        <f>SUM(Form_Responses[[#This Row],[Adequação ao Tema]:[POTENCIAL DE VENCEDOR]])</f>
        <v>75</v>
      </c>
      <c r="O15" s="4" t="s">
        <v>40</v>
      </c>
    </row>
    <row r="16" spans="1:15" ht="22.5" customHeight="1" x14ac:dyDescent="0.2">
      <c r="A16" s="3">
        <v>46290.713967534721</v>
      </c>
      <c r="B16" s="4" t="s">
        <v>12</v>
      </c>
      <c r="C16" s="4" t="s">
        <v>41</v>
      </c>
      <c r="D16" s="4">
        <v>6</v>
      </c>
      <c r="E16" s="4">
        <v>6</v>
      </c>
      <c r="F16" s="4">
        <v>6</v>
      </c>
      <c r="G16" s="4">
        <v>6</v>
      </c>
      <c r="H16" s="4">
        <v>8</v>
      </c>
      <c r="I16" s="4">
        <v>5</v>
      </c>
      <c r="J16" s="4">
        <v>8</v>
      </c>
      <c r="K16" s="4">
        <v>5</v>
      </c>
      <c r="L16" s="4">
        <v>5</v>
      </c>
      <c r="M16" s="13">
        <f>AVERAGE(Form_Responses[[#This Row],[Adequação ao Tema]:[POTENCIAL DE VENCEDOR]])</f>
        <v>6.1111111111111107</v>
      </c>
      <c r="N16" s="4">
        <f>SUM(Form_Responses[[#This Row],[Adequação ao Tema]:[POTENCIAL DE VENCEDOR]])</f>
        <v>55</v>
      </c>
      <c r="O16" s="4" t="s">
        <v>42</v>
      </c>
    </row>
    <row r="17" spans="1:15" ht="22.5" customHeight="1" x14ac:dyDescent="0.2">
      <c r="A17" s="3">
        <v>46290.720636944447</v>
      </c>
      <c r="B17" s="4" t="s">
        <v>12</v>
      </c>
      <c r="C17" s="4" t="s">
        <v>43</v>
      </c>
      <c r="D17" s="4">
        <v>7</v>
      </c>
      <c r="E17" s="4">
        <v>9</v>
      </c>
      <c r="F17" s="4">
        <v>9</v>
      </c>
      <c r="G17" s="4">
        <v>8</v>
      </c>
      <c r="H17" s="4">
        <v>9</v>
      </c>
      <c r="I17" s="4">
        <v>9</v>
      </c>
      <c r="J17" s="4">
        <v>8</v>
      </c>
      <c r="K17" s="4">
        <v>10</v>
      </c>
      <c r="L17" s="4">
        <v>8</v>
      </c>
      <c r="M17" s="13">
        <f>AVERAGE(Form_Responses[[#This Row],[Adequação ao Tema]:[POTENCIAL DE VENCEDOR]])</f>
        <v>8.5555555555555554</v>
      </c>
      <c r="N17" s="4">
        <f>SUM(Form_Responses[[#This Row],[Adequação ao Tema]:[POTENCIAL DE VENCEDOR]])</f>
        <v>77</v>
      </c>
      <c r="O17" s="4" t="s">
        <v>44</v>
      </c>
    </row>
    <row r="18" spans="1:15" ht="22.5" customHeight="1" x14ac:dyDescent="0.2">
      <c r="A18" s="3">
        <v>46290.725009930553</v>
      </c>
      <c r="B18" s="4" t="s">
        <v>12</v>
      </c>
      <c r="C18" s="4" t="s">
        <v>45</v>
      </c>
      <c r="D18" s="4">
        <v>8</v>
      </c>
      <c r="E18" s="4">
        <v>8</v>
      </c>
      <c r="F18" s="4">
        <v>8</v>
      </c>
      <c r="G18" s="4">
        <v>8</v>
      </c>
      <c r="H18" s="4">
        <v>8</v>
      </c>
      <c r="I18" s="4">
        <v>5</v>
      </c>
      <c r="J18" s="4">
        <v>7</v>
      </c>
      <c r="K18" s="4">
        <v>8</v>
      </c>
      <c r="L18" s="4">
        <v>7</v>
      </c>
      <c r="M18" s="13">
        <f>AVERAGE(Form_Responses[[#This Row],[Adequação ao Tema]:[POTENCIAL DE VENCEDOR]])</f>
        <v>7.4444444444444446</v>
      </c>
      <c r="N18" s="4">
        <f>SUM(Form_Responses[[#This Row],[Adequação ao Tema]:[POTENCIAL DE VENCEDOR]])</f>
        <v>67</v>
      </c>
      <c r="O18" s="4" t="s">
        <v>46</v>
      </c>
    </row>
    <row r="19" spans="1:15" ht="22.5" customHeight="1" x14ac:dyDescent="0.2">
      <c r="A19" s="3">
        <v>46290.733991446759</v>
      </c>
      <c r="B19" s="4" t="s">
        <v>12</v>
      </c>
      <c r="C19" s="4" t="s">
        <v>47</v>
      </c>
      <c r="D19" s="4">
        <v>8</v>
      </c>
      <c r="E19" s="4">
        <v>8</v>
      </c>
      <c r="F19" s="4">
        <v>8</v>
      </c>
      <c r="G19" s="4">
        <v>8</v>
      </c>
      <c r="H19" s="4">
        <v>9</v>
      </c>
      <c r="I19" s="4">
        <v>9</v>
      </c>
      <c r="J19" s="4">
        <v>10</v>
      </c>
      <c r="K19" s="4">
        <v>10</v>
      </c>
      <c r="L19" s="4">
        <v>9</v>
      </c>
      <c r="M19" s="13">
        <f>AVERAGE(Form_Responses[[#This Row],[Adequação ao Tema]:[POTENCIAL DE VENCEDOR]])</f>
        <v>8.7777777777777786</v>
      </c>
      <c r="N19" s="4">
        <f>SUM(Form_Responses[[#This Row],[Adequação ao Tema]:[POTENCIAL DE VENCEDOR]])</f>
        <v>79</v>
      </c>
      <c r="O19" s="4" t="s">
        <v>48</v>
      </c>
    </row>
    <row r="20" spans="1:15" ht="22.5" customHeight="1" x14ac:dyDescent="0.2">
      <c r="A20" s="3">
        <v>46290.739459907403</v>
      </c>
      <c r="B20" s="4" t="s">
        <v>12</v>
      </c>
      <c r="C20" s="4" t="s">
        <v>49</v>
      </c>
      <c r="D20" s="4">
        <v>9</v>
      </c>
      <c r="E20" s="4">
        <v>9</v>
      </c>
      <c r="F20" s="4">
        <v>8</v>
      </c>
      <c r="G20" s="4">
        <v>9</v>
      </c>
      <c r="H20" s="4">
        <v>10</v>
      </c>
      <c r="I20" s="4">
        <v>9</v>
      </c>
      <c r="J20" s="4">
        <v>8</v>
      </c>
      <c r="K20" s="4">
        <v>10</v>
      </c>
      <c r="L20" s="4">
        <v>8</v>
      </c>
      <c r="M20" s="13">
        <f>AVERAGE(Form_Responses[[#This Row],[Adequação ao Tema]:[POTENCIAL DE VENCEDOR]])</f>
        <v>8.8888888888888893</v>
      </c>
      <c r="N20" s="4">
        <f>SUM(Form_Responses[[#This Row],[Adequação ao Tema]:[POTENCIAL DE VENCEDOR]])</f>
        <v>80</v>
      </c>
      <c r="O20" s="4" t="s">
        <v>50</v>
      </c>
    </row>
    <row r="21" spans="1:15" ht="22.5" customHeight="1" x14ac:dyDescent="0.2">
      <c r="A21" s="3">
        <v>46290.744118263887</v>
      </c>
      <c r="B21" s="4" t="s">
        <v>12</v>
      </c>
      <c r="C21" s="4" t="s">
        <v>51</v>
      </c>
      <c r="D21" s="4">
        <v>9</v>
      </c>
      <c r="E21" s="4">
        <v>9</v>
      </c>
      <c r="F21" s="4">
        <v>9</v>
      </c>
      <c r="G21" s="4">
        <v>9</v>
      </c>
      <c r="H21" s="4">
        <v>9</v>
      </c>
      <c r="I21" s="4">
        <v>9</v>
      </c>
      <c r="J21" s="4">
        <v>10</v>
      </c>
      <c r="K21" s="4">
        <v>10</v>
      </c>
      <c r="L21" s="4">
        <v>9</v>
      </c>
      <c r="M21" s="13">
        <f>AVERAGE(Form_Responses[[#This Row],[Adequação ao Tema]:[POTENCIAL DE VENCEDOR]])</f>
        <v>9.2222222222222214</v>
      </c>
      <c r="N21" s="4">
        <f>SUM(Form_Responses[[#This Row],[Adequação ao Tema]:[POTENCIAL DE VENCEDOR]])</f>
        <v>83</v>
      </c>
      <c r="O21" s="4" t="s">
        <v>52</v>
      </c>
    </row>
    <row r="22" spans="1:15" ht="22.5" customHeight="1" x14ac:dyDescent="0.2">
      <c r="A22" s="3">
        <v>46290.747119224536</v>
      </c>
      <c r="B22" s="4" t="s">
        <v>12</v>
      </c>
      <c r="C22" s="4" t="s">
        <v>53</v>
      </c>
      <c r="D22" s="4">
        <v>6</v>
      </c>
      <c r="E22" s="4">
        <v>7</v>
      </c>
      <c r="F22" s="4">
        <v>8</v>
      </c>
      <c r="G22" s="4">
        <v>7</v>
      </c>
      <c r="H22" s="4">
        <v>8</v>
      </c>
      <c r="I22" s="4">
        <v>8</v>
      </c>
      <c r="J22" s="4">
        <v>8</v>
      </c>
      <c r="K22" s="4">
        <v>9</v>
      </c>
      <c r="L22" s="4">
        <v>7</v>
      </c>
      <c r="M22" s="13">
        <f>AVERAGE(Form_Responses[[#This Row],[Adequação ao Tema]:[POTENCIAL DE VENCEDOR]])</f>
        <v>7.5555555555555554</v>
      </c>
      <c r="N22" s="4">
        <f>SUM(Form_Responses[[#This Row],[Adequação ao Tema]:[POTENCIAL DE VENCEDOR]])</f>
        <v>68</v>
      </c>
      <c r="O22" s="4" t="s">
        <v>54</v>
      </c>
    </row>
    <row r="23" spans="1:15" ht="22.5" customHeight="1" x14ac:dyDescent="0.2">
      <c r="A23" s="3">
        <v>46290.75957328704</v>
      </c>
      <c r="B23" s="4" t="s">
        <v>55</v>
      </c>
      <c r="C23" s="4" t="s">
        <v>27</v>
      </c>
      <c r="D23" s="4">
        <v>9</v>
      </c>
      <c r="E23" s="4">
        <v>9</v>
      </c>
      <c r="F23" s="4">
        <v>7</v>
      </c>
      <c r="G23" s="4">
        <v>4</v>
      </c>
      <c r="H23" s="4">
        <v>9</v>
      </c>
      <c r="I23" s="4">
        <v>8</v>
      </c>
      <c r="J23" s="4">
        <v>3</v>
      </c>
      <c r="K23" s="4">
        <v>9</v>
      </c>
      <c r="L23" s="4">
        <v>8</v>
      </c>
      <c r="M23" s="13">
        <f>AVERAGE(Form_Responses[[#This Row],[Adequação ao Tema]:[POTENCIAL DE VENCEDOR]])</f>
        <v>7.333333333333333</v>
      </c>
      <c r="N23" s="4">
        <f>SUM(Form_Responses[[#This Row],[Adequação ao Tema]:[POTENCIAL DE VENCEDOR]])</f>
        <v>66</v>
      </c>
      <c r="O23" s="4" t="s">
        <v>56</v>
      </c>
    </row>
    <row r="24" spans="1:15" ht="22.5" customHeight="1" x14ac:dyDescent="0.2">
      <c r="A24" s="3">
        <v>46290.762632673606</v>
      </c>
      <c r="B24" s="4" t="s">
        <v>55</v>
      </c>
      <c r="C24" s="4" t="s">
        <v>39</v>
      </c>
      <c r="D24" s="4">
        <v>9</v>
      </c>
      <c r="E24" s="4">
        <v>9</v>
      </c>
      <c r="F24" s="4">
        <v>6</v>
      </c>
      <c r="G24" s="4">
        <v>6</v>
      </c>
      <c r="H24" s="4">
        <v>6</v>
      </c>
      <c r="I24" s="4">
        <v>9</v>
      </c>
      <c r="J24" s="4">
        <v>6</v>
      </c>
      <c r="K24" s="4">
        <v>7</v>
      </c>
      <c r="L24" s="4">
        <v>3</v>
      </c>
      <c r="M24" s="13">
        <f>AVERAGE(Form_Responses[[#This Row],[Adequação ao Tema]:[POTENCIAL DE VENCEDOR]])</f>
        <v>6.7777777777777777</v>
      </c>
      <c r="N24" s="4">
        <f>SUM(Form_Responses[[#This Row],[Adequação ao Tema]:[POTENCIAL DE VENCEDOR]])</f>
        <v>61</v>
      </c>
      <c r="O24" s="4" t="s">
        <v>57</v>
      </c>
    </row>
    <row r="25" spans="1:15" ht="22.5" customHeight="1" x14ac:dyDescent="0.2">
      <c r="A25" s="3">
        <v>46290.771399988429</v>
      </c>
      <c r="B25" s="4" t="s">
        <v>55</v>
      </c>
      <c r="C25" s="4" t="s">
        <v>43</v>
      </c>
      <c r="D25" s="4">
        <v>10</v>
      </c>
      <c r="E25" s="4">
        <v>10</v>
      </c>
      <c r="F25" s="4">
        <v>10</v>
      </c>
      <c r="G25" s="4">
        <v>10</v>
      </c>
      <c r="H25" s="4">
        <v>10</v>
      </c>
      <c r="I25" s="4">
        <v>10</v>
      </c>
      <c r="J25" s="4">
        <v>9</v>
      </c>
      <c r="K25" s="4">
        <v>9</v>
      </c>
      <c r="L25" s="4">
        <v>10</v>
      </c>
      <c r="M25" s="13">
        <f>AVERAGE(Form_Responses[[#This Row],[Adequação ao Tema]:[POTENCIAL DE VENCEDOR]])</f>
        <v>9.7777777777777786</v>
      </c>
      <c r="N25" s="4">
        <f>SUM(Form_Responses[[#This Row],[Adequação ao Tema]:[POTENCIAL DE VENCEDOR]])</f>
        <v>88</v>
      </c>
      <c r="O25" s="4" t="s">
        <v>58</v>
      </c>
    </row>
    <row r="26" spans="1:15" ht="22.5" customHeight="1" x14ac:dyDescent="0.2">
      <c r="A26" s="3">
        <v>46290.783762997686</v>
      </c>
      <c r="B26" s="4" t="s">
        <v>55</v>
      </c>
      <c r="C26" s="4" t="s">
        <v>47</v>
      </c>
      <c r="D26" s="4">
        <v>8</v>
      </c>
      <c r="E26" s="4">
        <v>9</v>
      </c>
      <c r="F26" s="4">
        <v>7</v>
      </c>
      <c r="G26" s="4">
        <v>5</v>
      </c>
      <c r="H26" s="4">
        <v>6</v>
      </c>
      <c r="I26" s="4">
        <v>9</v>
      </c>
      <c r="J26" s="4">
        <v>9</v>
      </c>
      <c r="K26" s="4">
        <v>7</v>
      </c>
      <c r="L26" s="4">
        <v>6</v>
      </c>
      <c r="M26" s="13">
        <f>AVERAGE(Form_Responses[[#This Row],[Adequação ao Tema]:[POTENCIAL DE VENCEDOR]])</f>
        <v>7.333333333333333</v>
      </c>
      <c r="N26" s="4">
        <f>SUM(Form_Responses[[#This Row],[Adequação ao Tema]:[POTENCIAL DE VENCEDOR]])</f>
        <v>66</v>
      </c>
      <c r="O26" s="4" t="s">
        <v>59</v>
      </c>
    </row>
    <row r="27" spans="1:15" ht="22.5" customHeight="1" x14ac:dyDescent="0.2">
      <c r="A27" s="3">
        <v>46290.792915648148</v>
      </c>
      <c r="B27" s="4" t="s">
        <v>55</v>
      </c>
      <c r="C27" s="4" t="s">
        <v>51</v>
      </c>
      <c r="D27" s="4">
        <v>9</v>
      </c>
      <c r="E27" s="4">
        <v>9</v>
      </c>
      <c r="F27" s="4">
        <v>9</v>
      </c>
      <c r="G27" s="4">
        <v>6</v>
      </c>
      <c r="H27" s="4">
        <v>10</v>
      </c>
      <c r="I27" s="4">
        <v>10</v>
      </c>
      <c r="J27" s="4">
        <v>9</v>
      </c>
      <c r="K27" s="4">
        <v>9</v>
      </c>
      <c r="L27" s="4">
        <v>10</v>
      </c>
      <c r="M27" s="13">
        <f>AVERAGE(Form_Responses[[#This Row],[Adequação ao Tema]:[POTENCIAL DE VENCEDOR]])</f>
        <v>9</v>
      </c>
      <c r="N27" s="4">
        <f>SUM(Form_Responses[[#This Row],[Adequação ao Tema]:[POTENCIAL DE VENCEDOR]])</f>
        <v>81</v>
      </c>
      <c r="O27" s="4" t="s">
        <v>60</v>
      </c>
    </row>
    <row r="28" spans="1:15" ht="22.5" customHeight="1" x14ac:dyDescent="0.2">
      <c r="A28" s="3">
        <v>46290.796816145834</v>
      </c>
      <c r="B28" s="4" t="s">
        <v>55</v>
      </c>
      <c r="C28" s="4" t="s">
        <v>13</v>
      </c>
      <c r="D28" s="4">
        <v>9</v>
      </c>
      <c r="E28" s="4">
        <v>8</v>
      </c>
      <c r="F28" s="4">
        <v>9</v>
      </c>
      <c r="G28" s="4">
        <v>9</v>
      </c>
      <c r="H28" s="4">
        <v>9</v>
      </c>
      <c r="I28" s="4">
        <v>9</v>
      </c>
      <c r="J28" s="4">
        <v>9</v>
      </c>
      <c r="K28" s="4">
        <v>9</v>
      </c>
      <c r="L28" s="4">
        <v>10</v>
      </c>
      <c r="M28" s="13">
        <f>AVERAGE(Form_Responses[[#This Row],[Adequação ao Tema]:[POTENCIAL DE VENCEDOR]])</f>
        <v>9</v>
      </c>
      <c r="N28" s="4">
        <f>SUM(Form_Responses[[#This Row],[Adequação ao Tema]:[POTENCIAL DE VENCEDOR]])</f>
        <v>81</v>
      </c>
      <c r="O28" s="4" t="s">
        <v>61</v>
      </c>
    </row>
    <row r="29" spans="1:15" ht="22.5" customHeight="1" x14ac:dyDescent="0.2">
      <c r="A29" s="3">
        <v>46290.802564525467</v>
      </c>
      <c r="B29" s="4" t="s">
        <v>55</v>
      </c>
      <c r="C29" s="4" t="s">
        <v>19</v>
      </c>
      <c r="D29" s="4">
        <v>9</v>
      </c>
      <c r="E29" s="4">
        <v>7</v>
      </c>
      <c r="F29" s="4">
        <v>6</v>
      </c>
      <c r="G29" s="4">
        <v>9</v>
      </c>
      <c r="H29" s="4">
        <v>9</v>
      </c>
      <c r="I29" s="4">
        <v>9</v>
      </c>
      <c r="J29" s="4">
        <v>9</v>
      </c>
      <c r="K29" s="4">
        <v>9</v>
      </c>
      <c r="L29" s="4">
        <v>8</v>
      </c>
      <c r="M29" s="13">
        <f>AVERAGE(Form_Responses[[#This Row],[Adequação ao Tema]:[POTENCIAL DE VENCEDOR]])</f>
        <v>8.3333333333333339</v>
      </c>
      <c r="N29" s="4">
        <f>SUM(Form_Responses[[#This Row],[Adequação ao Tema]:[POTENCIAL DE VENCEDOR]])</f>
        <v>75</v>
      </c>
      <c r="O29" s="4" t="s">
        <v>62</v>
      </c>
    </row>
    <row r="30" spans="1:15" ht="22.5" customHeight="1" x14ac:dyDescent="0.2">
      <c r="A30" s="3">
        <v>46290.954351261578</v>
      </c>
      <c r="B30" s="4" t="s">
        <v>55</v>
      </c>
      <c r="C30" s="4" t="s">
        <v>15</v>
      </c>
      <c r="D30" s="4">
        <v>8</v>
      </c>
      <c r="E30" s="4">
        <v>6</v>
      </c>
      <c r="F30" s="4">
        <v>6</v>
      </c>
      <c r="G30" s="4">
        <v>10</v>
      </c>
      <c r="H30" s="4">
        <v>9</v>
      </c>
      <c r="I30" s="4">
        <v>9</v>
      </c>
      <c r="J30" s="4">
        <v>8</v>
      </c>
      <c r="K30" s="4">
        <v>8</v>
      </c>
      <c r="L30" s="4">
        <v>6</v>
      </c>
      <c r="M30" s="13">
        <f>AVERAGE(Form_Responses[[#This Row],[Adequação ao Tema]:[POTENCIAL DE VENCEDOR]])</f>
        <v>7.7777777777777777</v>
      </c>
      <c r="N30" s="4">
        <f>SUM(Form_Responses[[#This Row],[Adequação ao Tema]:[POTENCIAL DE VENCEDOR]])</f>
        <v>70</v>
      </c>
      <c r="O30" s="4" t="s">
        <v>63</v>
      </c>
    </row>
    <row r="31" spans="1:15" ht="22.5" customHeight="1" x14ac:dyDescent="0.2">
      <c r="A31" s="3">
        <v>46290.964806249998</v>
      </c>
      <c r="B31" s="4" t="s">
        <v>55</v>
      </c>
      <c r="C31" s="4" t="s">
        <v>21</v>
      </c>
      <c r="D31" s="4">
        <v>6</v>
      </c>
      <c r="E31" s="4">
        <v>8</v>
      </c>
      <c r="F31" s="4">
        <v>2</v>
      </c>
      <c r="G31" s="4">
        <v>2</v>
      </c>
      <c r="H31" s="4">
        <v>5</v>
      </c>
      <c r="I31" s="4">
        <v>5</v>
      </c>
      <c r="J31" s="4">
        <v>4</v>
      </c>
      <c r="K31" s="4">
        <v>5</v>
      </c>
      <c r="L31" s="4">
        <v>1</v>
      </c>
      <c r="M31" s="13">
        <f>AVERAGE(Form_Responses[[#This Row],[Adequação ao Tema]:[POTENCIAL DE VENCEDOR]])</f>
        <v>4.2222222222222223</v>
      </c>
      <c r="N31" s="4">
        <f>SUM(Form_Responses[[#This Row],[Adequação ao Tema]:[POTENCIAL DE VENCEDOR]])</f>
        <v>38</v>
      </c>
      <c r="O31" s="4" t="s">
        <v>64</v>
      </c>
    </row>
    <row r="32" spans="1:15" ht="22.5" customHeight="1" x14ac:dyDescent="0.2">
      <c r="A32" s="3">
        <v>46290.975548796298</v>
      </c>
      <c r="B32" s="4" t="s">
        <v>55</v>
      </c>
      <c r="C32" s="4" t="s">
        <v>25</v>
      </c>
      <c r="D32" s="4">
        <v>8</v>
      </c>
      <c r="E32" s="4">
        <v>8</v>
      </c>
      <c r="F32" s="4">
        <v>9</v>
      </c>
      <c r="G32" s="4">
        <v>9</v>
      </c>
      <c r="H32" s="4">
        <v>8</v>
      </c>
      <c r="I32" s="4">
        <v>3</v>
      </c>
      <c r="J32" s="4">
        <v>8</v>
      </c>
      <c r="K32" s="4">
        <v>8</v>
      </c>
      <c r="L32" s="4">
        <v>4</v>
      </c>
      <c r="M32" s="13">
        <f>AVERAGE(Form_Responses[[#This Row],[Adequação ao Tema]:[POTENCIAL DE VENCEDOR]])</f>
        <v>7.2222222222222223</v>
      </c>
      <c r="N32" s="4">
        <f>SUM(Form_Responses[[#This Row],[Adequação ao Tema]:[POTENCIAL DE VENCEDOR]])</f>
        <v>65</v>
      </c>
      <c r="O32" s="4" t="s">
        <v>65</v>
      </c>
    </row>
    <row r="33" spans="1:15" ht="22.5" customHeight="1" x14ac:dyDescent="0.2">
      <c r="A33" s="3">
        <v>46290.979707962964</v>
      </c>
      <c r="B33" s="4" t="s">
        <v>55</v>
      </c>
      <c r="C33" s="4" t="s">
        <v>29</v>
      </c>
      <c r="D33" s="4">
        <v>8</v>
      </c>
      <c r="E33" s="4">
        <v>6</v>
      </c>
      <c r="F33" s="4">
        <v>4</v>
      </c>
      <c r="G33" s="4">
        <v>5</v>
      </c>
      <c r="H33" s="4">
        <v>4</v>
      </c>
      <c r="I33" s="4">
        <v>1</v>
      </c>
      <c r="J33" s="4">
        <v>5</v>
      </c>
      <c r="K33" s="4">
        <v>7</v>
      </c>
      <c r="L33" s="4">
        <v>1</v>
      </c>
      <c r="M33" s="13">
        <f>AVERAGE(Form_Responses[[#This Row],[Adequação ao Tema]:[POTENCIAL DE VENCEDOR]])</f>
        <v>4.5555555555555554</v>
      </c>
      <c r="N33" s="4">
        <f>SUM(Form_Responses[[#This Row],[Adequação ao Tema]:[POTENCIAL DE VENCEDOR]])</f>
        <v>41</v>
      </c>
      <c r="O33" s="4" t="s">
        <v>66</v>
      </c>
    </row>
    <row r="34" spans="1:15" ht="22.5" customHeight="1" x14ac:dyDescent="0.2">
      <c r="A34" s="3">
        <v>46290.982973692131</v>
      </c>
      <c r="B34" s="4" t="s">
        <v>55</v>
      </c>
      <c r="C34" s="4" t="s">
        <v>31</v>
      </c>
      <c r="D34" s="4">
        <v>8</v>
      </c>
      <c r="E34" s="4">
        <v>7</v>
      </c>
      <c r="F34" s="4">
        <v>5</v>
      </c>
      <c r="G34" s="4">
        <v>7</v>
      </c>
      <c r="H34" s="4">
        <v>8</v>
      </c>
      <c r="I34" s="4">
        <v>9</v>
      </c>
      <c r="J34" s="4">
        <v>7</v>
      </c>
      <c r="K34" s="4">
        <v>7</v>
      </c>
      <c r="L34" s="4">
        <v>2</v>
      </c>
      <c r="M34" s="13">
        <f>AVERAGE(Form_Responses[[#This Row],[Adequação ao Tema]:[POTENCIAL DE VENCEDOR]])</f>
        <v>6.666666666666667</v>
      </c>
      <c r="N34" s="4">
        <f>SUM(Form_Responses[[#This Row],[Adequação ao Tema]:[POTENCIAL DE VENCEDOR]])</f>
        <v>60</v>
      </c>
      <c r="O34" s="4" t="s">
        <v>67</v>
      </c>
    </row>
    <row r="35" spans="1:15" ht="22.5" customHeight="1" x14ac:dyDescent="0.2">
      <c r="A35" s="3">
        <v>46290.987209999999</v>
      </c>
      <c r="B35" s="4" t="s">
        <v>55</v>
      </c>
      <c r="C35" s="4" t="s">
        <v>35</v>
      </c>
      <c r="D35" s="4">
        <v>9</v>
      </c>
      <c r="E35" s="4">
        <v>8</v>
      </c>
      <c r="F35" s="4">
        <v>9</v>
      </c>
      <c r="G35" s="4">
        <v>9</v>
      </c>
      <c r="H35" s="4">
        <v>10</v>
      </c>
      <c r="I35" s="4">
        <v>10</v>
      </c>
      <c r="J35" s="4">
        <v>9</v>
      </c>
      <c r="K35" s="4">
        <v>8</v>
      </c>
      <c r="L35" s="4">
        <v>9</v>
      </c>
      <c r="M35" s="13">
        <f>AVERAGE(Form_Responses[[#This Row],[Adequação ao Tema]:[POTENCIAL DE VENCEDOR]])</f>
        <v>9</v>
      </c>
      <c r="N35" s="4">
        <f>SUM(Form_Responses[[#This Row],[Adequação ao Tema]:[POTENCIAL DE VENCEDOR]])</f>
        <v>81</v>
      </c>
      <c r="O35" s="4" t="s">
        <v>68</v>
      </c>
    </row>
    <row r="36" spans="1:15" ht="22.5" customHeight="1" x14ac:dyDescent="0.2">
      <c r="A36" s="3">
        <v>46290.997489814814</v>
      </c>
      <c r="B36" s="4" t="s">
        <v>55</v>
      </c>
      <c r="C36" s="4" t="s">
        <v>37</v>
      </c>
      <c r="D36" s="4">
        <v>9</v>
      </c>
      <c r="E36" s="4">
        <v>9</v>
      </c>
      <c r="F36" s="4">
        <v>9</v>
      </c>
      <c r="G36" s="4">
        <v>9</v>
      </c>
      <c r="H36" s="4">
        <v>9</v>
      </c>
      <c r="I36" s="4">
        <v>8</v>
      </c>
      <c r="J36" s="4">
        <v>8</v>
      </c>
      <c r="K36" s="4">
        <v>8</v>
      </c>
      <c r="L36" s="4">
        <v>9</v>
      </c>
      <c r="M36" s="13">
        <f>AVERAGE(Form_Responses[[#This Row],[Adequação ao Tema]:[POTENCIAL DE VENCEDOR]])</f>
        <v>8.6666666666666661</v>
      </c>
      <c r="N36" s="4">
        <f>SUM(Form_Responses[[#This Row],[Adequação ao Tema]:[POTENCIAL DE VENCEDOR]])</f>
        <v>78</v>
      </c>
      <c r="O36" s="4" t="s">
        <v>69</v>
      </c>
    </row>
    <row r="37" spans="1:15" ht="22.5" customHeight="1" x14ac:dyDescent="0.2">
      <c r="A37" s="3">
        <v>46291.004078379628</v>
      </c>
      <c r="B37" s="4" t="s">
        <v>55</v>
      </c>
      <c r="C37" s="4" t="s">
        <v>45</v>
      </c>
      <c r="D37" s="4">
        <v>8</v>
      </c>
      <c r="E37" s="4">
        <v>7</v>
      </c>
      <c r="F37" s="4">
        <v>5</v>
      </c>
      <c r="G37" s="4">
        <v>5</v>
      </c>
      <c r="H37" s="4">
        <v>9</v>
      </c>
      <c r="I37" s="4">
        <v>2</v>
      </c>
      <c r="J37" s="4">
        <v>7</v>
      </c>
      <c r="K37" s="4">
        <v>6</v>
      </c>
      <c r="L37" s="4">
        <v>2</v>
      </c>
      <c r="M37" s="13">
        <f>AVERAGE(Form_Responses[[#This Row],[Adequação ao Tema]:[POTENCIAL DE VENCEDOR]])</f>
        <v>5.666666666666667</v>
      </c>
      <c r="N37" s="4">
        <f>SUM(Form_Responses[[#This Row],[Adequação ao Tema]:[POTENCIAL DE VENCEDOR]])</f>
        <v>51</v>
      </c>
      <c r="O37" s="4" t="s">
        <v>70</v>
      </c>
    </row>
    <row r="38" spans="1:15" ht="22.5" customHeight="1" x14ac:dyDescent="0.2">
      <c r="A38" s="3">
        <v>46291.007728587967</v>
      </c>
      <c r="B38" s="4" t="s">
        <v>55</v>
      </c>
      <c r="C38" s="4" t="s">
        <v>49</v>
      </c>
      <c r="D38" s="4">
        <v>9</v>
      </c>
      <c r="E38" s="4">
        <v>9</v>
      </c>
      <c r="F38" s="4">
        <v>9</v>
      </c>
      <c r="G38" s="4">
        <v>10</v>
      </c>
      <c r="H38" s="4">
        <v>10</v>
      </c>
      <c r="I38" s="4">
        <v>10</v>
      </c>
      <c r="J38" s="4">
        <v>9</v>
      </c>
      <c r="K38" s="4">
        <v>9</v>
      </c>
      <c r="L38" s="4">
        <v>10</v>
      </c>
      <c r="M38" s="13">
        <f>AVERAGE(Form_Responses[[#This Row],[Adequação ao Tema]:[POTENCIAL DE VENCEDOR]])</f>
        <v>9.4444444444444446</v>
      </c>
      <c r="N38" s="4">
        <f>SUM(Form_Responses[[#This Row],[Adequação ao Tema]:[POTENCIAL DE VENCEDOR]])</f>
        <v>85</v>
      </c>
      <c r="O38" s="4" t="s">
        <v>71</v>
      </c>
    </row>
    <row r="39" spans="1:15" ht="22.5" customHeight="1" x14ac:dyDescent="0.2">
      <c r="A39" s="3">
        <v>46291.009962800927</v>
      </c>
      <c r="B39" s="4" t="s">
        <v>55</v>
      </c>
      <c r="C39" s="4" t="s">
        <v>53</v>
      </c>
      <c r="D39" s="4">
        <v>9</v>
      </c>
      <c r="E39" s="4">
        <v>9</v>
      </c>
      <c r="F39" s="4">
        <v>9</v>
      </c>
      <c r="G39" s="4">
        <v>8</v>
      </c>
      <c r="H39" s="4">
        <v>9</v>
      </c>
      <c r="I39" s="4">
        <v>9</v>
      </c>
      <c r="J39" s="4">
        <v>8</v>
      </c>
      <c r="K39" s="4">
        <v>8</v>
      </c>
      <c r="L39" s="4">
        <v>8</v>
      </c>
      <c r="M39" s="13">
        <f>AVERAGE(Form_Responses[[#This Row],[Adequação ao Tema]:[POTENCIAL DE VENCEDOR]])</f>
        <v>8.5555555555555554</v>
      </c>
      <c r="N39" s="4">
        <f>SUM(Form_Responses[[#This Row],[Adequação ao Tema]:[POTENCIAL DE VENCEDOR]])</f>
        <v>77</v>
      </c>
      <c r="O39" s="4" t="s">
        <v>72</v>
      </c>
    </row>
    <row r="40" spans="1:15" ht="22.5" customHeight="1" x14ac:dyDescent="0.2">
      <c r="A40" s="3">
        <v>46291.338067743054</v>
      </c>
      <c r="B40" s="4" t="s">
        <v>73</v>
      </c>
      <c r="C40" s="4" t="s">
        <v>27</v>
      </c>
      <c r="D40" s="4">
        <v>8</v>
      </c>
      <c r="E40" s="4">
        <v>8</v>
      </c>
      <c r="F40" s="4">
        <v>8</v>
      </c>
      <c r="G40" s="4">
        <v>10</v>
      </c>
      <c r="H40" s="4">
        <v>10</v>
      </c>
      <c r="I40" s="4">
        <v>8</v>
      </c>
      <c r="J40" s="4">
        <v>10</v>
      </c>
      <c r="K40" s="4">
        <v>10</v>
      </c>
      <c r="L40" s="4">
        <v>7</v>
      </c>
      <c r="M40" s="13">
        <f>AVERAGE(Form_Responses[[#This Row],[Adequação ao Tema]:[POTENCIAL DE VENCEDOR]])</f>
        <v>8.7777777777777786</v>
      </c>
      <c r="N40" s="4">
        <f>SUM(Form_Responses[[#This Row],[Adequação ao Tema]:[POTENCIAL DE VENCEDOR]])</f>
        <v>79</v>
      </c>
      <c r="O40" s="4"/>
    </row>
    <row r="41" spans="1:15" ht="22.5" customHeight="1" x14ac:dyDescent="0.2">
      <c r="A41" s="3">
        <v>46291.341578263891</v>
      </c>
      <c r="B41" s="4" t="s">
        <v>73</v>
      </c>
      <c r="C41" s="4" t="s">
        <v>39</v>
      </c>
      <c r="D41" s="4">
        <v>7</v>
      </c>
      <c r="E41" s="4">
        <v>10</v>
      </c>
      <c r="F41" s="4">
        <v>8</v>
      </c>
      <c r="G41" s="4">
        <v>7</v>
      </c>
      <c r="H41" s="4">
        <v>10</v>
      </c>
      <c r="I41" s="4">
        <v>10</v>
      </c>
      <c r="J41" s="4">
        <v>10</v>
      </c>
      <c r="K41" s="4">
        <v>10</v>
      </c>
      <c r="L41" s="4">
        <v>7</v>
      </c>
      <c r="M41" s="13">
        <f>AVERAGE(Form_Responses[[#This Row],[Adequação ao Tema]:[POTENCIAL DE VENCEDOR]])</f>
        <v>8.7777777777777786</v>
      </c>
      <c r="N41" s="4">
        <f>SUM(Form_Responses[[#This Row],[Adequação ao Tema]:[POTENCIAL DE VENCEDOR]])</f>
        <v>79</v>
      </c>
      <c r="O41" s="4"/>
    </row>
    <row r="42" spans="1:15" ht="22.5" customHeight="1" x14ac:dyDescent="0.2">
      <c r="A42" s="3">
        <v>46291.347721030092</v>
      </c>
      <c r="B42" s="4" t="s">
        <v>73</v>
      </c>
      <c r="C42" s="4" t="s">
        <v>47</v>
      </c>
      <c r="D42" s="4">
        <v>1</v>
      </c>
      <c r="E42" s="4">
        <v>7</v>
      </c>
      <c r="F42" s="4">
        <v>8</v>
      </c>
      <c r="G42" s="4">
        <v>10</v>
      </c>
      <c r="H42" s="4">
        <v>8</v>
      </c>
      <c r="I42" s="4">
        <v>10</v>
      </c>
      <c r="J42" s="4">
        <v>10</v>
      </c>
      <c r="K42" s="4">
        <v>10</v>
      </c>
      <c r="L42" s="4">
        <v>7</v>
      </c>
      <c r="M42" s="13">
        <f>AVERAGE(Form_Responses[[#This Row],[Adequação ao Tema]:[POTENCIAL DE VENCEDOR]])</f>
        <v>7.8888888888888893</v>
      </c>
      <c r="N42" s="4">
        <f>SUM(Form_Responses[[#This Row],[Adequação ao Tema]:[POTENCIAL DE VENCEDOR]])</f>
        <v>71</v>
      </c>
      <c r="O42" s="4"/>
    </row>
    <row r="43" spans="1:15" ht="22.5" customHeight="1" x14ac:dyDescent="0.2">
      <c r="A43" s="3">
        <v>46291.350535381949</v>
      </c>
      <c r="B43" s="4" t="s">
        <v>73</v>
      </c>
      <c r="C43" s="4" t="s">
        <v>51</v>
      </c>
      <c r="D43" s="4">
        <v>10</v>
      </c>
      <c r="E43" s="4">
        <v>10</v>
      </c>
      <c r="F43" s="4">
        <v>8</v>
      </c>
      <c r="G43" s="4">
        <v>9</v>
      </c>
      <c r="H43" s="4">
        <v>8</v>
      </c>
      <c r="I43" s="4">
        <v>8</v>
      </c>
      <c r="J43" s="4">
        <v>10</v>
      </c>
      <c r="K43" s="4">
        <v>10</v>
      </c>
      <c r="L43" s="4">
        <v>8</v>
      </c>
      <c r="M43" s="13">
        <f>AVERAGE(Form_Responses[[#This Row],[Adequação ao Tema]:[POTENCIAL DE VENCEDOR]])</f>
        <v>9</v>
      </c>
      <c r="N43" s="4">
        <f>SUM(Form_Responses[[#This Row],[Adequação ao Tema]:[POTENCIAL DE VENCEDOR]])</f>
        <v>81</v>
      </c>
      <c r="O43" s="4"/>
    </row>
    <row r="44" spans="1:15" ht="22.5" customHeight="1" x14ac:dyDescent="0.2">
      <c r="A44" s="3">
        <v>46291.352598611113</v>
      </c>
      <c r="B44" s="4" t="s">
        <v>73</v>
      </c>
      <c r="C44" s="4" t="s">
        <v>13</v>
      </c>
      <c r="D44" s="4">
        <v>8</v>
      </c>
      <c r="E44" s="4">
        <v>10</v>
      </c>
      <c r="F44" s="4">
        <v>3</v>
      </c>
      <c r="G44" s="4">
        <v>10</v>
      </c>
      <c r="H44" s="4">
        <v>7</v>
      </c>
      <c r="I44" s="4">
        <v>5</v>
      </c>
      <c r="J44" s="4">
        <v>10</v>
      </c>
      <c r="K44" s="4">
        <v>8</v>
      </c>
      <c r="L44" s="4">
        <v>4</v>
      </c>
      <c r="M44" s="13">
        <f>AVERAGE(Form_Responses[[#This Row],[Adequação ao Tema]:[POTENCIAL DE VENCEDOR]])</f>
        <v>7.2222222222222223</v>
      </c>
      <c r="N44" s="4">
        <f>SUM(Form_Responses[[#This Row],[Adequação ao Tema]:[POTENCIAL DE VENCEDOR]])</f>
        <v>65</v>
      </c>
      <c r="O44" s="4"/>
    </row>
    <row r="45" spans="1:15" ht="22.5" customHeight="1" x14ac:dyDescent="0.2">
      <c r="A45" s="3">
        <v>46291.356976412033</v>
      </c>
      <c r="B45" s="4" t="s">
        <v>73</v>
      </c>
      <c r="C45" s="4" t="s">
        <v>19</v>
      </c>
      <c r="D45" s="4">
        <v>5</v>
      </c>
      <c r="E45" s="4">
        <v>7</v>
      </c>
      <c r="F45" s="4">
        <v>7</v>
      </c>
      <c r="G45" s="4">
        <v>10</v>
      </c>
      <c r="H45" s="4">
        <v>8</v>
      </c>
      <c r="I45" s="4">
        <v>8</v>
      </c>
      <c r="J45" s="4">
        <v>10</v>
      </c>
      <c r="K45" s="4">
        <v>10</v>
      </c>
      <c r="L45" s="4">
        <v>7</v>
      </c>
      <c r="M45" s="13">
        <f>AVERAGE(Form_Responses[[#This Row],[Adequação ao Tema]:[POTENCIAL DE VENCEDOR]])</f>
        <v>8</v>
      </c>
      <c r="N45" s="4">
        <f>SUM(Form_Responses[[#This Row],[Adequação ao Tema]:[POTENCIAL DE VENCEDOR]])</f>
        <v>72</v>
      </c>
      <c r="O45" s="4"/>
    </row>
    <row r="46" spans="1:15" ht="22.5" customHeight="1" x14ac:dyDescent="0.2">
      <c r="A46" s="3">
        <v>46291.357823738421</v>
      </c>
      <c r="B46" s="4" t="s">
        <v>73</v>
      </c>
      <c r="C46" s="4" t="s">
        <v>21</v>
      </c>
      <c r="D46" s="4">
        <v>8</v>
      </c>
      <c r="E46" s="4">
        <v>10</v>
      </c>
      <c r="F46" s="4">
        <v>5</v>
      </c>
      <c r="G46" s="4">
        <v>8</v>
      </c>
      <c r="H46" s="4">
        <v>8</v>
      </c>
      <c r="I46" s="4">
        <v>8</v>
      </c>
      <c r="J46" s="4">
        <v>10</v>
      </c>
      <c r="K46" s="4">
        <v>10</v>
      </c>
      <c r="L46" s="4">
        <v>7</v>
      </c>
      <c r="M46" s="13">
        <f>AVERAGE(Form_Responses[[#This Row],[Adequação ao Tema]:[POTENCIAL DE VENCEDOR]])</f>
        <v>8.2222222222222214</v>
      </c>
      <c r="N46" s="4">
        <f>SUM(Form_Responses[[#This Row],[Adequação ao Tema]:[POTENCIAL DE VENCEDOR]])</f>
        <v>74</v>
      </c>
      <c r="O46" s="4"/>
    </row>
    <row r="47" spans="1:15" ht="22.5" customHeight="1" x14ac:dyDescent="0.2">
      <c r="A47" s="3">
        <v>46291.359714861115</v>
      </c>
      <c r="B47" s="4" t="s">
        <v>73</v>
      </c>
      <c r="C47" s="4" t="s">
        <v>35</v>
      </c>
      <c r="D47" s="4">
        <v>10</v>
      </c>
      <c r="E47" s="4">
        <v>10</v>
      </c>
      <c r="F47" s="4">
        <v>7</v>
      </c>
      <c r="G47" s="4">
        <v>8</v>
      </c>
      <c r="H47" s="4">
        <v>8</v>
      </c>
      <c r="I47" s="4">
        <v>8</v>
      </c>
      <c r="J47" s="4">
        <v>10</v>
      </c>
      <c r="K47" s="4">
        <v>10</v>
      </c>
      <c r="L47" s="4">
        <v>8</v>
      </c>
      <c r="M47" s="13">
        <f>AVERAGE(Form_Responses[[#This Row],[Adequação ao Tema]:[POTENCIAL DE VENCEDOR]])</f>
        <v>8.7777777777777786</v>
      </c>
      <c r="N47" s="4">
        <f>SUM(Form_Responses[[#This Row],[Adequação ao Tema]:[POTENCIAL DE VENCEDOR]])</f>
        <v>79</v>
      </c>
      <c r="O47" s="4"/>
    </row>
    <row r="48" spans="1:15" ht="22.5" customHeight="1" x14ac:dyDescent="0.2">
      <c r="A48" s="3">
        <v>46291.36133728009</v>
      </c>
      <c r="B48" s="4" t="s">
        <v>73</v>
      </c>
      <c r="C48" s="4" t="s">
        <v>45</v>
      </c>
      <c r="D48" s="4">
        <v>7</v>
      </c>
      <c r="E48" s="4">
        <v>7</v>
      </c>
      <c r="F48" s="4">
        <v>6</v>
      </c>
      <c r="G48" s="4">
        <v>10</v>
      </c>
      <c r="H48" s="4">
        <v>8</v>
      </c>
      <c r="I48" s="4">
        <v>7</v>
      </c>
      <c r="J48" s="4">
        <v>10</v>
      </c>
      <c r="K48" s="4">
        <v>10</v>
      </c>
      <c r="L48" s="4">
        <v>5</v>
      </c>
      <c r="M48" s="13">
        <f>AVERAGE(Form_Responses[[#This Row],[Adequação ao Tema]:[POTENCIAL DE VENCEDOR]])</f>
        <v>7.7777777777777777</v>
      </c>
      <c r="N48" s="4">
        <f>SUM(Form_Responses[[#This Row],[Adequação ao Tema]:[POTENCIAL DE VENCEDOR]])</f>
        <v>70</v>
      </c>
      <c r="O48" s="4"/>
    </row>
    <row r="49" spans="1:15" ht="22.5" customHeight="1" x14ac:dyDescent="0.2">
      <c r="A49" s="3">
        <v>46291.363150787038</v>
      </c>
      <c r="B49" s="4" t="s">
        <v>73</v>
      </c>
      <c r="C49" s="4" t="s">
        <v>49</v>
      </c>
      <c r="D49" s="4">
        <v>5</v>
      </c>
      <c r="E49" s="4">
        <v>5</v>
      </c>
      <c r="F49" s="4">
        <v>5</v>
      </c>
      <c r="G49" s="4">
        <v>10</v>
      </c>
      <c r="H49" s="4">
        <v>10</v>
      </c>
      <c r="I49" s="4">
        <v>7</v>
      </c>
      <c r="J49" s="4">
        <v>5</v>
      </c>
      <c r="K49" s="4">
        <v>10</v>
      </c>
      <c r="L49" s="4">
        <v>5</v>
      </c>
      <c r="M49" s="13">
        <f>AVERAGE(Form_Responses[[#This Row],[Adequação ao Tema]:[POTENCIAL DE VENCEDOR]])</f>
        <v>6.8888888888888893</v>
      </c>
      <c r="N49" s="4">
        <f>SUM(Form_Responses[[#This Row],[Adequação ao Tema]:[POTENCIAL DE VENCEDOR]])</f>
        <v>62</v>
      </c>
      <c r="O49" s="4"/>
    </row>
    <row r="50" spans="1:15" ht="22.5" customHeight="1" x14ac:dyDescent="0.2">
      <c r="A50" s="3">
        <v>46291.364731261579</v>
      </c>
      <c r="B50" s="4" t="s">
        <v>73</v>
      </c>
      <c r="C50" s="4" t="s">
        <v>53</v>
      </c>
      <c r="D50" s="4">
        <v>5</v>
      </c>
      <c r="E50" s="4">
        <v>6</v>
      </c>
      <c r="F50" s="4">
        <v>7</v>
      </c>
      <c r="G50" s="4">
        <v>7</v>
      </c>
      <c r="H50" s="4">
        <v>8</v>
      </c>
      <c r="I50" s="4">
        <v>5</v>
      </c>
      <c r="J50" s="4">
        <v>6</v>
      </c>
      <c r="K50" s="4">
        <v>8</v>
      </c>
      <c r="L50" s="4">
        <v>5</v>
      </c>
      <c r="M50" s="13">
        <f>AVERAGE(Form_Responses[[#This Row],[Adequação ao Tema]:[POTENCIAL DE VENCEDOR]])</f>
        <v>6.333333333333333</v>
      </c>
      <c r="N50" s="4">
        <f>SUM(Form_Responses[[#This Row],[Adequação ao Tema]:[POTENCIAL DE VENCEDOR]])</f>
        <v>57</v>
      </c>
      <c r="O50" s="4"/>
    </row>
    <row r="51" spans="1:15" ht="22.5" customHeight="1" x14ac:dyDescent="0.2">
      <c r="A51" s="3">
        <v>46291.389734479162</v>
      </c>
      <c r="B51" s="4" t="s">
        <v>73</v>
      </c>
      <c r="C51" s="4" t="s">
        <v>43</v>
      </c>
      <c r="D51" s="4">
        <v>9</v>
      </c>
      <c r="E51" s="4">
        <v>8</v>
      </c>
      <c r="F51" s="4">
        <v>7</v>
      </c>
      <c r="G51" s="4">
        <v>9</v>
      </c>
      <c r="H51" s="4">
        <v>10</v>
      </c>
      <c r="I51" s="4">
        <v>7</v>
      </c>
      <c r="J51" s="4">
        <v>10</v>
      </c>
      <c r="K51" s="4">
        <v>10</v>
      </c>
      <c r="L51" s="4">
        <v>8</v>
      </c>
      <c r="M51" s="13">
        <f>AVERAGE(Form_Responses[[#This Row],[Adequação ao Tema]:[POTENCIAL DE VENCEDOR]])</f>
        <v>8.6666666666666661</v>
      </c>
      <c r="N51" s="4">
        <f>SUM(Form_Responses[[#This Row],[Adequação ao Tema]:[POTENCIAL DE VENCEDOR]])</f>
        <v>78</v>
      </c>
      <c r="O51" s="4"/>
    </row>
    <row r="52" spans="1:15" ht="22.5" customHeight="1" x14ac:dyDescent="0.2">
      <c r="A52" s="3">
        <v>46291.396009745367</v>
      </c>
      <c r="B52" s="4" t="s">
        <v>73</v>
      </c>
      <c r="C52" s="4" t="s">
        <v>33</v>
      </c>
      <c r="D52" s="4">
        <v>8</v>
      </c>
      <c r="E52" s="4">
        <v>8</v>
      </c>
      <c r="F52" s="4">
        <v>7</v>
      </c>
      <c r="G52" s="4">
        <v>10</v>
      </c>
      <c r="H52" s="4">
        <v>8</v>
      </c>
      <c r="I52" s="4">
        <v>7</v>
      </c>
      <c r="J52" s="4">
        <v>10</v>
      </c>
      <c r="K52" s="4">
        <v>10</v>
      </c>
      <c r="L52" s="4">
        <v>7</v>
      </c>
      <c r="M52" s="13">
        <f>AVERAGE(Form_Responses[[#This Row],[Adequação ao Tema]:[POTENCIAL DE VENCEDOR]])</f>
        <v>8.3333333333333339</v>
      </c>
      <c r="N52" s="4">
        <f>SUM(Form_Responses[[#This Row],[Adequação ao Tema]:[POTENCIAL DE VENCEDOR]])</f>
        <v>75</v>
      </c>
      <c r="O52" s="4"/>
    </row>
    <row r="53" spans="1:15" ht="22.5" customHeight="1" x14ac:dyDescent="0.2">
      <c r="A53" s="3">
        <v>46291.405855138888</v>
      </c>
      <c r="B53" s="4" t="s">
        <v>73</v>
      </c>
      <c r="C53" s="4" t="s">
        <v>17</v>
      </c>
      <c r="D53" s="4">
        <v>5</v>
      </c>
      <c r="E53" s="4">
        <v>7</v>
      </c>
      <c r="F53" s="4">
        <v>7</v>
      </c>
      <c r="G53" s="4">
        <v>8</v>
      </c>
      <c r="H53" s="4">
        <v>8</v>
      </c>
      <c r="I53" s="4">
        <v>7</v>
      </c>
      <c r="J53" s="4">
        <v>10</v>
      </c>
      <c r="K53" s="4">
        <v>10</v>
      </c>
      <c r="L53" s="4">
        <v>5</v>
      </c>
      <c r="M53" s="13">
        <f>AVERAGE(Form_Responses[[#This Row],[Adequação ao Tema]:[POTENCIAL DE VENCEDOR]])</f>
        <v>7.4444444444444446</v>
      </c>
      <c r="N53" s="4">
        <f>SUM(Form_Responses[[#This Row],[Adequação ao Tema]:[POTENCIAL DE VENCEDOR]])</f>
        <v>67</v>
      </c>
      <c r="O53" s="4"/>
    </row>
    <row r="54" spans="1:15" ht="22.5" customHeight="1" x14ac:dyDescent="0.2">
      <c r="A54" s="3">
        <v>46291.413578553242</v>
      </c>
      <c r="B54" s="4" t="s">
        <v>55</v>
      </c>
      <c r="C54" s="4" t="s">
        <v>33</v>
      </c>
      <c r="D54" s="4">
        <v>9</v>
      </c>
      <c r="E54" s="4">
        <v>8</v>
      </c>
      <c r="F54" s="4">
        <v>6</v>
      </c>
      <c r="G54" s="4">
        <v>7</v>
      </c>
      <c r="H54" s="4">
        <v>9</v>
      </c>
      <c r="I54" s="4">
        <v>9</v>
      </c>
      <c r="J54" s="4">
        <v>8</v>
      </c>
      <c r="K54" s="4">
        <v>9</v>
      </c>
      <c r="L54" s="4">
        <v>7</v>
      </c>
      <c r="M54" s="13">
        <f>AVERAGE(Form_Responses[[#This Row],[Adequação ao Tema]:[POTENCIAL DE VENCEDOR]])</f>
        <v>8</v>
      </c>
      <c r="N54" s="4">
        <f>SUM(Form_Responses[[#This Row],[Adequação ao Tema]:[POTENCIAL DE VENCEDOR]])</f>
        <v>72</v>
      </c>
      <c r="O54" s="4" t="s">
        <v>74</v>
      </c>
    </row>
    <row r="55" spans="1:15" ht="22.5" customHeight="1" x14ac:dyDescent="0.2">
      <c r="A55" s="3">
        <v>46291.415422175924</v>
      </c>
      <c r="B55" s="4" t="s">
        <v>55</v>
      </c>
      <c r="C55" s="4" t="s">
        <v>75</v>
      </c>
      <c r="D55" s="4">
        <v>3</v>
      </c>
      <c r="E55" s="4">
        <v>8</v>
      </c>
      <c r="F55" s="4">
        <v>4</v>
      </c>
      <c r="G55" s="4">
        <v>7</v>
      </c>
      <c r="H55" s="4">
        <v>5</v>
      </c>
      <c r="I55" s="4">
        <v>8</v>
      </c>
      <c r="J55" s="4">
        <v>3</v>
      </c>
      <c r="K55" s="4">
        <v>5</v>
      </c>
      <c r="L55" s="4">
        <v>2</v>
      </c>
      <c r="M55" s="13">
        <f>AVERAGE(Form_Responses[[#This Row],[Adequação ao Tema]:[POTENCIAL DE VENCEDOR]])</f>
        <v>5</v>
      </c>
      <c r="N55" s="4">
        <f>SUM(Form_Responses[[#This Row],[Adequação ao Tema]:[POTENCIAL DE VENCEDOR]])</f>
        <v>45</v>
      </c>
      <c r="O55" s="4" t="s">
        <v>76</v>
      </c>
    </row>
    <row r="56" spans="1:15" ht="22.5" customHeight="1" x14ac:dyDescent="0.2">
      <c r="A56" s="3">
        <v>46291.417038125001</v>
      </c>
      <c r="B56" s="4" t="s">
        <v>55</v>
      </c>
      <c r="C56" s="4" t="s">
        <v>41</v>
      </c>
      <c r="D56" s="4">
        <v>6</v>
      </c>
      <c r="E56" s="4">
        <v>6</v>
      </c>
      <c r="F56" s="4">
        <v>3</v>
      </c>
      <c r="G56" s="4">
        <v>6</v>
      </c>
      <c r="H56" s="4">
        <v>5</v>
      </c>
      <c r="I56" s="4">
        <v>6</v>
      </c>
      <c r="J56" s="4">
        <v>4</v>
      </c>
      <c r="K56" s="4">
        <v>3</v>
      </c>
      <c r="L56" s="4">
        <v>1</v>
      </c>
      <c r="M56" s="13">
        <f>AVERAGE(Form_Responses[[#This Row],[Adequação ao Tema]:[POTENCIAL DE VENCEDOR]])</f>
        <v>4.4444444444444446</v>
      </c>
      <c r="N56" s="4">
        <f>SUM(Form_Responses[[#This Row],[Adequação ao Tema]:[POTENCIAL DE VENCEDOR]])</f>
        <v>40</v>
      </c>
      <c r="O56" s="4" t="s">
        <v>77</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F9BD2-BCB8-44D6-80A5-D99FF83A2895}">
  <dimension ref="A1"/>
  <sheetViews>
    <sheetView workbookViewId="0">
      <selection activeCell="B1" sqref="B1:N57"/>
    </sheetView>
  </sheetViews>
  <sheetFormatPr defaultRowHeight="12.75" x14ac:dyDescent="0.2"/>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0D981-F484-44EE-986B-059F91A2CC19}">
  <dimension ref="B1:F57"/>
  <sheetViews>
    <sheetView topLeftCell="A25" zoomScale="197" workbookViewId="0">
      <selection activeCell="E46" sqref="E46"/>
    </sheetView>
  </sheetViews>
  <sheetFormatPr defaultRowHeight="12.75" x14ac:dyDescent="0.2"/>
  <cols>
    <col min="2" max="2" width="10.5703125" bestFit="1" customWidth="1"/>
    <col min="3" max="3" width="28.42578125" bestFit="1" customWidth="1"/>
    <col min="5" max="5" width="16.42578125" bestFit="1" customWidth="1"/>
  </cols>
  <sheetData>
    <row r="1" spans="2:6" x14ac:dyDescent="0.2">
      <c r="B1" t="s">
        <v>81</v>
      </c>
      <c r="C1" t="s">
        <v>80</v>
      </c>
      <c r="D1" t="s">
        <v>78</v>
      </c>
      <c r="E1" t="s">
        <v>79</v>
      </c>
      <c r="F1" t="s">
        <v>83</v>
      </c>
    </row>
    <row r="2" spans="2:6" x14ac:dyDescent="0.2">
      <c r="C2" t="str">
        <f>'Respostas ao formulário 1'!C2</f>
        <v>01. Block Busters</v>
      </c>
      <c r="D2">
        <f>SUM('Respostas ao formulário 1'!D2:L2)</f>
        <v>78</v>
      </c>
      <c r="E2">
        <v>10</v>
      </c>
    </row>
    <row r="3" spans="2:6" x14ac:dyDescent="0.2">
      <c r="C3" t="str">
        <f>'Respostas ao formulário 1'!C3</f>
        <v>02. Apenas Uma Porta</v>
      </c>
      <c r="D3">
        <f>SUM('Respostas ao formulário 1'!D3:L3)</f>
        <v>70</v>
      </c>
      <c r="E3">
        <v>10</v>
      </c>
    </row>
    <row r="4" spans="2:6" x14ac:dyDescent="0.2">
      <c r="C4" t="str">
        <f>'Respostas ao formulário 1'!C4</f>
        <v>03. Just One More Time</v>
      </c>
      <c r="D4">
        <f>SUM('Respostas ao formulário 1'!D4:L4)</f>
        <v>74</v>
      </c>
      <c r="E4">
        <v>10</v>
      </c>
    </row>
    <row r="5" spans="2:6" x14ac:dyDescent="0.2">
      <c r="C5" t="str">
        <f>'Respostas ao formulário 1'!C5</f>
        <v>04. Captus Gator</v>
      </c>
      <c r="D5">
        <f>SUM('Respostas ao formulário 1'!D5:L5)</f>
        <v>77</v>
      </c>
      <c r="E5">
        <v>10</v>
      </c>
    </row>
    <row r="6" spans="2:6" x14ac:dyDescent="0.2">
      <c r="C6" t="str">
        <f>'Respostas ao formulário 1'!C6</f>
        <v>05. Apenas Um Passo</v>
      </c>
      <c r="D6">
        <f>SUM('Respostas ao formulário 1'!D6:L6)</f>
        <v>77</v>
      </c>
      <c r="E6">
        <v>10</v>
      </c>
    </row>
    <row r="7" spans="2:6" x14ac:dyDescent="0.2">
      <c r="C7" t="str">
        <f>'Respostas ao formulário 1'!C7</f>
        <v>06. O último clique</v>
      </c>
      <c r="D7">
        <f>SUM('Respostas ao formulário 1'!D7:L7)</f>
        <v>61</v>
      </c>
      <c r="E7">
        <v>10</v>
      </c>
    </row>
    <row r="8" spans="2:6" x14ac:dyDescent="0.2">
      <c r="C8" t="str">
        <f>'Respostas ao formulário 1'!C8</f>
        <v>07. Apenas uma luz</v>
      </c>
      <c r="D8">
        <f>SUM('Respostas ao formulário 1'!D8:L8)</f>
        <v>68</v>
      </c>
      <c r="E8">
        <v>10</v>
      </c>
    </row>
    <row r="9" spans="2:6" x14ac:dyDescent="0.2">
      <c r="B9" t="s">
        <v>82</v>
      </c>
      <c r="C9" t="str">
        <f>'Respostas ao formulário 1'!C9</f>
        <v>08. BLACK FOREST</v>
      </c>
      <c r="D9">
        <f>SUM('Respostas ao formulário 1'!D9:L9)</f>
        <v>70</v>
      </c>
      <c r="E9">
        <v>10</v>
      </c>
    </row>
    <row r="10" spans="2:6" x14ac:dyDescent="0.2">
      <c r="C10" t="str">
        <f>'Respostas ao formulário 1'!C10</f>
        <v>09. RESTA UM</v>
      </c>
      <c r="D10">
        <f>SUM('Respostas ao formulário 1'!D10:L10)</f>
        <v>64</v>
      </c>
      <c r="E10">
        <v>10</v>
      </c>
    </row>
    <row r="11" spans="2:6" x14ac:dyDescent="0.2">
      <c r="C11" t="str">
        <f>'Respostas ao formulário 1'!C11</f>
        <v>10. A ÚLTIMA CHANCE</v>
      </c>
      <c r="D11">
        <f>SUM('Respostas ao formulário 1'!D11:L11)</f>
        <v>73</v>
      </c>
      <c r="E11">
        <v>10</v>
      </c>
    </row>
    <row r="12" spans="2:6" x14ac:dyDescent="0.2">
      <c r="C12" t="str">
        <f>'Respostas ao formulário 1'!C12</f>
        <v>11. The Apotheosis of Ivy</v>
      </c>
      <c r="D12">
        <f>SUM('Respostas ao formulário 1'!D12:L12)</f>
        <v>69</v>
      </c>
      <c r="E12">
        <v>10</v>
      </c>
    </row>
    <row r="13" spans="2:6" x14ac:dyDescent="0.2">
      <c r="C13" t="str">
        <f>'Respostas ao formulário 1'!C13</f>
        <v>12. Singular</v>
      </c>
      <c r="D13">
        <f>SUM('Respostas ao formulário 1'!D13:L13)</f>
        <v>79</v>
      </c>
      <c r="E13">
        <v>10</v>
      </c>
    </row>
    <row r="14" spans="2:6" x14ac:dyDescent="0.2">
      <c r="C14" t="str">
        <f>'Respostas ao formulário 1'!C14</f>
        <v>13. Apenas um Erro Matemático</v>
      </c>
      <c r="D14">
        <f>SUM('Respostas ao formulário 1'!D14:L14)</f>
        <v>70</v>
      </c>
      <c r="E14">
        <v>10</v>
      </c>
    </row>
    <row r="15" spans="2:6" x14ac:dyDescent="0.2">
      <c r="B15" t="s">
        <v>82</v>
      </c>
      <c r="C15" t="str">
        <f>'Respostas ao formulário 1'!C15</f>
        <v>14. INFragmentado</v>
      </c>
      <c r="D15">
        <f>SUM('Respostas ao formulário 1'!D15:L15)</f>
        <v>75</v>
      </c>
      <c r="E15">
        <v>10</v>
      </c>
    </row>
    <row r="16" spans="2:6" x14ac:dyDescent="0.2">
      <c r="C16" t="str">
        <f>'Respostas ao formulário 1'!C16</f>
        <v>16. One Slay</v>
      </c>
      <c r="D16">
        <f>SUM('Respostas ao formulário 1'!D16:L16)</f>
        <v>55</v>
      </c>
      <c r="E16">
        <v>10</v>
      </c>
    </row>
    <row r="17" spans="2:5" x14ac:dyDescent="0.2">
      <c r="B17" t="s">
        <v>82</v>
      </c>
      <c r="C17" t="str">
        <f>'Respostas ao formulário 1'!C17</f>
        <v>17. Paragominas: One Mission</v>
      </c>
      <c r="D17">
        <f>SUM('Respostas ao formulário 1'!D17:L17)</f>
        <v>77</v>
      </c>
      <c r="E17">
        <v>10</v>
      </c>
    </row>
    <row r="18" spans="2:5" x14ac:dyDescent="0.2">
      <c r="C18" t="str">
        <f>'Respostas ao formulário 1'!C18</f>
        <v>18. Apenas um quarto</v>
      </c>
      <c r="D18">
        <f>SUM('Respostas ao formulário 1'!D18:L18)</f>
        <v>67</v>
      </c>
      <c r="E18">
        <v>10</v>
      </c>
    </row>
    <row r="19" spans="2:5" x14ac:dyDescent="0.2">
      <c r="B19" t="s">
        <v>82</v>
      </c>
      <c r="C19" t="str">
        <f>'Respostas ao formulário 1'!C19</f>
        <v>19. ORFEU</v>
      </c>
      <c r="D19">
        <f>SUM('Respostas ao formulário 1'!D19:L19)</f>
        <v>79</v>
      </c>
      <c r="E19">
        <v>10</v>
      </c>
    </row>
    <row r="20" spans="2:5" x14ac:dyDescent="0.2">
      <c r="C20" t="str">
        <f>'Respostas ao formulário 1'!C20</f>
        <v>20. O culpado entre nós</v>
      </c>
      <c r="D20">
        <f>SUM('Respostas ao formulário 1'!D20:L20)</f>
        <v>80</v>
      </c>
      <c r="E20">
        <v>10</v>
      </c>
    </row>
    <row r="21" spans="2:5" x14ac:dyDescent="0.2">
      <c r="B21" t="s">
        <v>82</v>
      </c>
      <c r="C21" t="str">
        <f>'Respostas ao formulário 1'!C21</f>
        <v>21. Spear rush</v>
      </c>
      <c r="D21">
        <f>SUM('Respostas ao formulário 1'!D21:L21)</f>
        <v>83</v>
      </c>
      <c r="E21">
        <v>10</v>
      </c>
    </row>
    <row r="22" spans="2:5" x14ac:dyDescent="0.2">
      <c r="C22" t="str">
        <f>'Respostas ao formulário 1'!C22</f>
        <v>22. Tiny Sword</v>
      </c>
      <c r="D22">
        <f>SUM('Respostas ao formulário 1'!D22:L22)</f>
        <v>68</v>
      </c>
      <c r="E22">
        <v>10</v>
      </c>
    </row>
    <row r="23" spans="2:5" x14ac:dyDescent="0.2">
      <c r="C23" t="str">
        <f>'Respostas ao formulário 1'!C23</f>
        <v>08. BLACK FOREST</v>
      </c>
      <c r="D23">
        <f>SUM('Respostas ao formulário 1'!D23:L23)</f>
        <v>66</v>
      </c>
      <c r="E23">
        <v>10</v>
      </c>
    </row>
    <row r="24" spans="2:5" x14ac:dyDescent="0.2">
      <c r="C24" t="str">
        <f>'Respostas ao formulário 1'!C24</f>
        <v>14. INFragmentado</v>
      </c>
      <c r="D24">
        <f>SUM('Respostas ao formulário 1'!D24:L24)</f>
        <v>61</v>
      </c>
      <c r="E24">
        <v>10</v>
      </c>
    </row>
    <row r="25" spans="2:5" x14ac:dyDescent="0.2">
      <c r="C25" t="str">
        <f>'Respostas ao formulário 1'!C25</f>
        <v>17. Paragominas: One Mission</v>
      </c>
      <c r="D25">
        <f>SUM('Respostas ao formulário 1'!D25:L25)</f>
        <v>88</v>
      </c>
      <c r="E25">
        <v>10</v>
      </c>
    </row>
    <row r="26" spans="2:5" x14ac:dyDescent="0.2">
      <c r="C26" t="str">
        <f>'Respostas ao formulário 1'!C26</f>
        <v>19. ORFEU</v>
      </c>
      <c r="D26">
        <f>SUM('Respostas ao formulário 1'!D26:L26)</f>
        <v>66</v>
      </c>
      <c r="E26">
        <v>10</v>
      </c>
    </row>
    <row r="27" spans="2:5" x14ac:dyDescent="0.2">
      <c r="C27" t="str">
        <f>'Respostas ao formulário 1'!C27</f>
        <v>21. Spear rush</v>
      </c>
      <c r="D27">
        <f>SUM('Respostas ao formulário 1'!D27:L27)</f>
        <v>81</v>
      </c>
      <c r="E27">
        <v>10</v>
      </c>
    </row>
    <row r="28" spans="2:5" x14ac:dyDescent="0.2">
      <c r="C28" t="str">
        <f>'Respostas ao formulário 1'!C28</f>
        <v>01. Block Busters</v>
      </c>
      <c r="D28">
        <f>SUM('Respostas ao formulário 1'!D28:L28)</f>
        <v>81</v>
      </c>
      <c r="E28">
        <v>10</v>
      </c>
    </row>
    <row r="29" spans="2:5" x14ac:dyDescent="0.2">
      <c r="C29" t="str">
        <f>'Respostas ao formulário 1'!C29</f>
        <v>04. Captus Gator</v>
      </c>
      <c r="D29">
        <f>SUM('Respostas ao formulário 1'!D29:L29)</f>
        <v>75</v>
      </c>
      <c r="E29">
        <v>10</v>
      </c>
    </row>
    <row r="30" spans="2:5" x14ac:dyDescent="0.2">
      <c r="C30" t="str">
        <f>'Respostas ao formulário 1'!C30</f>
        <v>02. Apenas Uma Porta</v>
      </c>
      <c r="D30">
        <f>SUM('Respostas ao formulário 1'!D30:L30)</f>
        <v>70</v>
      </c>
      <c r="E30">
        <v>10</v>
      </c>
    </row>
    <row r="31" spans="2:5" x14ac:dyDescent="0.2">
      <c r="C31" t="str">
        <f>'Respostas ao formulário 1'!C31</f>
        <v>05. Apenas Um Passo</v>
      </c>
      <c r="D31">
        <f>SUM('Respostas ao formulário 1'!D31:L31)</f>
        <v>38</v>
      </c>
      <c r="E31">
        <v>10</v>
      </c>
    </row>
    <row r="32" spans="2:5" x14ac:dyDescent="0.2">
      <c r="C32" t="str">
        <f>'Respostas ao formulário 1'!C32</f>
        <v>07. Apenas uma luz</v>
      </c>
      <c r="D32">
        <f>SUM('Respostas ao formulário 1'!D32:L32)</f>
        <v>65</v>
      </c>
      <c r="E32">
        <v>10</v>
      </c>
    </row>
    <row r="33" spans="3:5" x14ac:dyDescent="0.2">
      <c r="C33" t="str">
        <f>'Respostas ao formulário 1'!C33</f>
        <v>09. RESTA UM</v>
      </c>
      <c r="D33">
        <f>SUM('Respostas ao formulário 1'!D33:L33)</f>
        <v>41</v>
      </c>
      <c r="E33">
        <v>10</v>
      </c>
    </row>
    <row r="34" spans="3:5" x14ac:dyDescent="0.2">
      <c r="C34" t="str">
        <f>'Respostas ao formulário 1'!C34</f>
        <v>10. A ÚLTIMA CHANCE</v>
      </c>
      <c r="D34">
        <f>SUM('Respostas ao formulário 1'!D34:L34)</f>
        <v>60</v>
      </c>
      <c r="E34">
        <v>10</v>
      </c>
    </row>
    <row r="35" spans="3:5" x14ac:dyDescent="0.2">
      <c r="C35" t="str">
        <f>'Respostas ao formulário 1'!C35</f>
        <v>12. Singular</v>
      </c>
      <c r="D35">
        <f>SUM('Respostas ao formulário 1'!D35:L35)</f>
        <v>81</v>
      </c>
      <c r="E35">
        <v>10</v>
      </c>
    </row>
    <row r="36" spans="3:5" x14ac:dyDescent="0.2">
      <c r="C36" t="str">
        <f>'Respostas ao formulário 1'!C36</f>
        <v>13. Apenas um Erro Matemático</v>
      </c>
      <c r="D36">
        <f>SUM('Respostas ao formulário 1'!D36:L36)</f>
        <v>78</v>
      </c>
      <c r="E36">
        <v>10</v>
      </c>
    </row>
    <row r="37" spans="3:5" x14ac:dyDescent="0.2">
      <c r="C37" t="str">
        <f>'Respostas ao formulário 1'!C37</f>
        <v>18. Apenas um quarto</v>
      </c>
      <c r="D37">
        <f>SUM('Respostas ao formulário 1'!D37:L37)</f>
        <v>51</v>
      </c>
      <c r="E37">
        <v>10</v>
      </c>
    </row>
    <row r="38" spans="3:5" x14ac:dyDescent="0.2">
      <c r="C38" t="str">
        <f>'Respostas ao formulário 1'!C38</f>
        <v>20. O culpado entre nós</v>
      </c>
      <c r="D38">
        <f>SUM('Respostas ao formulário 1'!D38:L38)</f>
        <v>85</v>
      </c>
      <c r="E38">
        <v>10</v>
      </c>
    </row>
    <row r="39" spans="3:5" x14ac:dyDescent="0.2">
      <c r="C39" t="str">
        <f>'Respostas ao formulário 1'!C39</f>
        <v>22. Tiny Sword</v>
      </c>
      <c r="D39">
        <f>SUM('Respostas ao formulário 1'!D39:L39)</f>
        <v>77</v>
      </c>
      <c r="E39">
        <v>10</v>
      </c>
    </row>
    <row r="40" spans="3:5" x14ac:dyDescent="0.2">
      <c r="C40" t="str">
        <f>'Respostas ao formulário 1'!C40</f>
        <v>08. BLACK FOREST</v>
      </c>
      <c r="D40">
        <f>SUM('Respostas ao formulário 1'!D40:L40)</f>
        <v>79</v>
      </c>
      <c r="E40">
        <v>10</v>
      </c>
    </row>
    <row r="41" spans="3:5" x14ac:dyDescent="0.2">
      <c r="C41" t="str">
        <f>'Respostas ao formulário 1'!C41</f>
        <v>14. INFragmentado</v>
      </c>
      <c r="D41">
        <f>SUM('Respostas ao formulário 1'!D41:L41)</f>
        <v>79</v>
      </c>
      <c r="E41">
        <v>10</v>
      </c>
    </row>
    <row r="42" spans="3:5" x14ac:dyDescent="0.2">
      <c r="C42" t="e">
        <f>'Respostas ao formulário 1'!#REF!</f>
        <v>#REF!</v>
      </c>
      <c r="D42" t="e">
        <f>SUM('Respostas ao formulário 1'!#REF!)</f>
        <v>#REF!</v>
      </c>
      <c r="E42">
        <v>10</v>
      </c>
    </row>
    <row r="43" spans="3:5" x14ac:dyDescent="0.2">
      <c r="C43" t="str">
        <f>'Respostas ao formulário 1'!C42</f>
        <v>19. ORFEU</v>
      </c>
      <c r="D43">
        <f>SUM('Respostas ao formulário 1'!D42:L42)</f>
        <v>71</v>
      </c>
      <c r="E43">
        <v>10</v>
      </c>
    </row>
    <row r="44" spans="3:5" x14ac:dyDescent="0.2">
      <c r="C44" t="str">
        <f>'Respostas ao formulário 1'!C43</f>
        <v>21. Spear rush</v>
      </c>
      <c r="D44">
        <f>SUM('Respostas ao formulário 1'!D43:L43)</f>
        <v>81</v>
      </c>
      <c r="E44">
        <v>10</v>
      </c>
    </row>
    <row r="45" spans="3:5" x14ac:dyDescent="0.2">
      <c r="C45" t="str">
        <f>'Respostas ao formulário 1'!C44</f>
        <v>01. Block Busters</v>
      </c>
      <c r="D45">
        <f>SUM('Respostas ao formulário 1'!D44:L44)</f>
        <v>65</v>
      </c>
      <c r="E45">
        <v>10</v>
      </c>
    </row>
    <row r="46" spans="3:5" x14ac:dyDescent="0.2">
      <c r="C46" t="str">
        <f>'Respostas ao formulário 1'!C45</f>
        <v>04. Captus Gator</v>
      </c>
      <c r="D46">
        <f>SUM('Respostas ao formulário 1'!D45:L45)</f>
        <v>72</v>
      </c>
      <c r="E46">
        <v>10</v>
      </c>
    </row>
    <row r="47" spans="3:5" x14ac:dyDescent="0.2">
      <c r="C47" t="str">
        <f>'Respostas ao formulário 1'!C46</f>
        <v>05. Apenas Um Passo</v>
      </c>
      <c r="D47">
        <f>SUM('Respostas ao formulário 1'!D46:L46)</f>
        <v>74</v>
      </c>
      <c r="E47">
        <v>10</v>
      </c>
    </row>
    <row r="48" spans="3:5" x14ac:dyDescent="0.2">
      <c r="C48" t="str">
        <f>'Respostas ao formulário 1'!C47</f>
        <v>12. Singular</v>
      </c>
      <c r="D48">
        <f>SUM('Respostas ao formulário 1'!D47:L47)</f>
        <v>79</v>
      </c>
      <c r="E48">
        <v>10</v>
      </c>
    </row>
    <row r="49" spans="3:5" x14ac:dyDescent="0.2">
      <c r="C49" t="str">
        <f>'Respostas ao formulário 1'!C48</f>
        <v>18. Apenas um quarto</v>
      </c>
      <c r="D49">
        <f>SUM('Respostas ao formulário 1'!D48:L48)</f>
        <v>70</v>
      </c>
      <c r="E49">
        <v>10</v>
      </c>
    </row>
    <row r="50" spans="3:5" x14ac:dyDescent="0.2">
      <c r="C50" t="str">
        <f>'Respostas ao formulário 1'!C49</f>
        <v>20. O culpado entre nós</v>
      </c>
      <c r="D50">
        <f>SUM('Respostas ao formulário 1'!D49:L49)</f>
        <v>62</v>
      </c>
      <c r="E50">
        <v>10</v>
      </c>
    </row>
    <row r="51" spans="3:5" x14ac:dyDescent="0.2">
      <c r="C51" t="str">
        <f>'Respostas ao formulário 1'!C50</f>
        <v>22. Tiny Sword</v>
      </c>
      <c r="D51">
        <f>SUM('Respostas ao formulário 1'!D50:L50)</f>
        <v>57</v>
      </c>
      <c r="E51">
        <v>10</v>
      </c>
    </row>
    <row r="52" spans="3:5" x14ac:dyDescent="0.2">
      <c r="C52" t="str">
        <f>'Respostas ao formulário 1'!C51</f>
        <v>17. Paragominas: One Mission</v>
      </c>
      <c r="D52">
        <f>SUM('Respostas ao formulário 1'!D51:L51)</f>
        <v>78</v>
      </c>
      <c r="E52">
        <v>10</v>
      </c>
    </row>
    <row r="53" spans="3:5" x14ac:dyDescent="0.2">
      <c r="C53" t="str">
        <f>'Respostas ao formulário 1'!C52</f>
        <v>11. The Apotheosis of Ivy</v>
      </c>
      <c r="D53">
        <f>SUM('Respostas ao formulário 1'!D52:L52)</f>
        <v>75</v>
      </c>
      <c r="E53">
        <v>10</v>
      </c>
    </row>
    <row r="54" spans="3:5" x14ac:dyDescent="0.2">
      <c r="C54" t="str">
        <f>'Respostas ao formulário 1'!C53</f>
        <v>03. Just One More Time</v>
      </c>
      <c r="D54">
        <f>SUM('Respostas ao formulário 1'!D53:L53)</f>
        <v>67</v>
      </c>
      <c r="E54">
        <v>10</v>
      </c>
    </row>
    <row r="55" spans="3:5" x14ac:dyDescent="0.2">
      <c r="C55" t="str">
        <f>'Respostas ao formulário 1'!C54</f>
        <v>11. The Apotheosis of Ivy</v>
      </c>
      <c r="D55">
        <f>SUM('Respostas ao formulário 1'!D54:L54)</f>
        <v>72</v>
      </c>
      <c r="E55">
        <v>10</v>
      </c>
    </row>
    <row r="56" spans="3:5" x14ac:dyDescent="0.2">
      <c r="C56" t="str">
        <f>'Respostas ao formulário 1'!C55</f>
        <v>15. Apenas um</v>
      </c>
      <c r="D56">
        <f>SUM('Respostas ao formulário 1'!D55:L55)</f>
        <v>45</v>
      </c>
      <c r="E56">
        <v>10</v>
      </c>
    </row>
    <row r="57" spans="3:5" x14ac:dyDescent="0.2">
      <c r="C57" t="str">
        <f>'Respostas ao formulário 1'!C56</f>
        <v>16. One Slay</v>
      </c>
      <c r="D57">
        <f>SUM('Respostas ao formulário 1'!D56:L56)</f>
        <v>40</v>
      </c>
      <c r="E57">
        <v>10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Planilha4</vt:lpstr>
      <vt:lpstr>Planilha5</vt:lpstr>
      <vt:lpstr>Respostas ao formulário 1</vt:lpstr>
      <vt:lpstr>Tabela</vt:lpstr>
      <vt:lpstr>Pontuação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Arikleyton de Oliveira</cp:lastModifiedBy>
  <dcterms:modified xsi:type="dcterms:W3CDTF">2026-09-26T14:27:17Z</dcterms:modified>
</cp:coreProperties>
</file>